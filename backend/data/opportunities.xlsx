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dacoris\backend\data\"/>
    </mc:Choice>
  </mc:AlternateContent>
  <xr:revisionPtr revIDLastSave="0" documentId="13_ncr:1_{1B956267-02D9-435B-BD04-068D8B18822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Opportunities" sheetId="1" r:id="rId1"/>
    <sheet name="API Schema" sheetId="2" r:id="rId2"/>
    <sheet name="Dashboard" sheetId="3" r:id="rId3"/>
    <sheet name="Lookups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3" l="1"/>
  <c r="B26" i="3"/>
  <c r="C25" i="3"/>
  <c r="B25" i="3"/>
  <c r="C24" i="3"/>
  <c r="B24" i="3"/>
  <c r="D24" i="3" s="1"/>
  <c r="C23" i="3"/>
  <c r="B23" i="3"/>
  <c r="C22" i="3"/>
  <c r="B22" i="3"/>
  <c r="D22" i="3" s="1"/>
  <c r="C21" i="3"/>
  <c r="B21" i="3"/>
  <c r="C20" i="3"/>
  <c r="B20" i="3"/>
  <c r="D20" i="3" s="1"/>
  <c r="C19" i="3"/>
  <c r="D19" i="3" s="1"/>
  <c r="B19" i="3"/>
  <c r="H18" i="3"/>
  <c r="G18" i="3"/>
  <c r="C18" i="3"/>
  <c r="B18" i="3"/>
  <c r="H17" i="3"/>
  <c r="G17" i="3"/>
  <c r="C17" i="3"/>
  <c r="B17" i="3"/>
  <c r="H16" i="3"/>
  <c r="G16" i="3"/>
  <c r="C16" i="3"/>
  <c r="B16" i="3"/>
  <c r="H15" i="3"/>
  <c r="G15" i="3"/>
  <c r="C15" i="3"/>
  <c r="B15" i="3"/>
  <c r="H14" i="3"/>
  <c r="G14" i="3"/>
  <c r="C14" i="3"/>
  <c r="B14" i="3"/>
  <c r="H13" i="3"/>
  <c r="G13" i="3"/>
  <c r="C13" i="3"/>
  <c r="B13" i="3"/>
  <c r="D13" i="3" s="1"/>
  <c r="H12" i="3"/>
  <c r="G12" i="3"/>
  <c r="C12" i="3"/>
  <c r="B12" i="3"/>
  <c r="H11" i="3"/>
  <c r="G11" i="3"/>
  <c r="C11" i="3"/>
  <c r="B11" i="3"/>
  <c r="H10" i="3"/>
  <c r="G10" i="3"/>
  <c r="C10" i="3"/>
  <c r="B10" i="3"/>
  <c r="H9" i="3"/>
  <c r="G9" i="3"/>
  <c r="C9" i="3"/>
  <c r="B9" i="3"/>
  <c r="D9" i="3" s="1"/>
  <c r="I4" i="3"/>
  <c r="G4" i="3"/>
  <c r="E4" i="3"/>
  <c r="C4" i="3"/>
  <c r="A4" i="3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D15" i="3" l="1"/>
  <c r="D10" i="3"/>
  <c r="D14" i="3"/>
  <c r="D16" i="3"/>
  <c r="D18" i="3"/>
  <c r="D21" i="3"/>
  <c r="D25" i="3"/>
  <c r="D26" i="3"/>
  <c r="D23" i="3"/>
  <c r="D12" i="3"/>
  <c r="D11" i="3"/>
  <c r="D17" i="3"/>
</calcChain>
</file>

<file path=xl/sharedStrings.xml><?xml version="1.0" encoding="utf-8"?>
<sst xmlns="http://schemas.openxmlformats.org/spreadsheetml/2006/main" count="698" uniqueCount="476">
  <si>
    <t>🇰🇪  DACORIS — Kenya Grant Opportunities Register  |  Module 5.2.1 Opportunity Management</t>
  </si>
  <si>
    <t>Source: DACORIS Grant Management System  |  Schema: GrantOpportunity v1.4  |  Last Updated: 17 April 2026  |  API Endpoint: GET /api/grants/opportunities</t>
  </si>
  <si>
    <t>OPPORTUNITY ID
(source_id)</t>
  </si>
  <si>
    <t>SOURCE
SYSTEM</t>
  </si>
  <si>
    <t>OPPORTUNITY TITLE</t>
  </si>
  <si>
    <t>SPONSOR / FUNDER</t>
  </si>
  <si>
    <t>SPONSOR
TYPE</t>
  </si>
  <si>
    <t>CATEGORY /
SECTOR</t>
  </si>
  <si>
    <t>GEOGRAPHY /
COUNTY</t>
  </si>
  <si>
    <t>ELIGIBLE
APPLICANTS</t>
  </si>
  <si>
    <t>FUNDING
TYPE</t>
  </si>
  <si>
    <t>CCY</t>
  </si>
  <si>
    <t>MIN AWARD
(KES/USD)</t>
  </si>
  <si>
    <t>MAX AWARD
(KES/USD)</t>
  </si>
  <si>
    <t>OPEN DATE</t>
  </si>
  <si>
    <t>DEADLINE</t>
  </si>
  <si>
    <t>DAYS
REMAINING</t>
  </si>
  <si>
    <t>STATUS</t>
  </si>
  <si>
    <t>ROUND /
CYCLE</t>
  </si>
  <si>
    <t>CONTACT EMAIL</t>
  </si>
  <si>
    <t>OPPORTUNITY URL</t>
  </si>
  <si>
    <t>INTERNAL NOTES</t>
  </si>
  <si>
    <t>KE-NACOSTI-2025-001</t>
  </si>
  <si>
    <t>NACOSTI</t>
  </si>
  <si>
    <t>Kenya National Research Fund – Health Innovation Grant</t>
  </si>
  <si>
    <t>National Commission for Science, Technology &amp; Innovation (NACOSTI)</t>
  </si>
  <si>
    <t>Government</t>
  </si>
  <si>
    <t>Health &amp; Biomedical</t>
  </si>
  <si>
    <t>National</t>
  </si>
  <si>
    <t>Universities, Research Institutions</t>
  </si>
  <si>
    <t>Grant</t>
  </si>
  <si>
    <t>KES</t>
  </si>
  <si>
    <t>Open</t>
  </si>
  <si>
    <t>Round 4 (2025)</t>
  </si>
  <si>
    <t>grants@nacosti.go.ke</t>
  </si>
  <si>
    <t>https://nacosti.go.ke/grants</t>
  </si>
  <si>
    <t>Aligned to Kenya Health Policy 2014-2030. Co-funding required.</t>
  </si>
  <si>
    <t>KE-NRFU-2025-002</t>
  </si>
  <si>
    <t>NRFU</t>
  </si>
  <si>
    <t>National Research Fund – Agriculture &amp; Food Security</t>
  </si>
  <si>
    <t>National Research Fund (NRF Kenya)</t>
  </si>
  <si>
    <t>Agriculture &amp; Food Security</t>
  </si>
  <si>
    <t>Kenyan Citizens, Universities</t>
  </si>
  <si>
    <t>FY 2024/25</t>
  </si>
  <si>
    <t>info@nrf.go.ke</t>
  </si>
  <si>
    <t>https://nrf.go.ke</t>
  </si>
  <si>
    <t>Priority: arid &amp; semi-arid land (ASAL) counties.</t>
  </si>
  <si>
    <t>KE-USAID-2025-003</t>
  </si>
  <si>
    <t>USAID Kenya</t>
  </si>
  <si>
    <t>Feed the Future – Climate-Smart Agriculture Innovation</t>
  </si>
  <si>
    <t>Bilateral</t>
  </si>
  <si>
    <t>Agriculture &amp; Climate</t>
  </si>
  <si>
    <t>Rift Valley, Western, Nyanza</t>
  </si>
  <si>
    <t>NGOs, CBOs, Universities</t>
  </si>
  <si>
    <t>Cooperative Agreement</t>
  </si>
  <si>
    <t>USD</t>
  </si>
  <si>
    <t>FY 2025</t>
  </si>
  <si>
    <t>kenyagrants@usaid.gov</t>
  </si>
  <si>
    <t>https://www.usaid.gov/kenya/funding-opportunities</t>
  </si>
  <si>
    <t>Must demonstrate community benefit sharing plan.</t>
  </si>
  <si>
    <t>KE-WELLCOME-2025-004</t>
  </si>
  <si>
    <t>Wellcome Trust</t>
  </si>
  <si>
    <t>Wellcome Kenya Collaborative Award – Infectious Disease</t>
  </si>
  <si>
    <t>International Foundation</t>
  </si>
  <si>
    <t>Health &amp; Infectious Disease</t>
  </si>
  <si>
    <t>Research Institutions (Kenyan PI required)</t>
  </si>
  <si>
    <t>Research Grant</t>
  </si>
  <si>
    <t>GBP</t>
  </si>
  <si>
    <t>Upcoming</t>
  </si>
  <si>
    <t>2025 Collaborative Awards</t>
  </si>
  <si>
    <t>grantsinfo@wellcome.org</t>
  </si>
  <si>
    <t>https://wellcome.org/grant-funding/schemes</t>
  </si>
  <si>
    <t>Must have UK academic partner. Ethics clearance mandatory.</t>
  </si>
  <si>
    <t>KE-BMGF-2025-005</t>
  </si>
  <si>
    <t>Bill &amp; Melinda Gates Foundation</t>
  </si>
  <si>
    <t>Grand Challenges Kenya – Digital Health Solutions</t>
  </si>
  <si>
    <t>Bill &amp; Melinda Gates Foundation (BMGF)</t>
  </si>
  <si>
    <t>Digital Health &amp; ICT</t>
  </si>
  <si>
    <t>Local Innovators, Startups, NGOs</t>
  </si>
  <si>
    <t>Challenge Grant</t>
  </si>
  <si>
    <t>Grand Challenges Explorations</t>
  </si>
  <si>
    <t>gcexplorations@gatesfoundation.org</t>
  </si>
  <si>
    <t>https://gcgh.grandchallenges.org</t>
  </si>
  <si>
    <t>Phase 1 (exploration): up to USD 100K. Phase 2: up to USD 1M.</t>
  </si>
  <si>
    <t>KE-EU-2025-006</t>
  </si>
  <si>
    <t>EU Delegation Kenya</t>
  </si>
  <si>
    <t>EU-Kenya Partnership – Climate Resilience &amp; WASH</t>
  </si>
  <si>
    <t>European Union Delegation to Kenya</t>
  </si>
  <si>
    <t>Environment &amp; WASH</t>
  </si>
  <si>
    <t>Coastal, Arid Counties (Turkana, Marsabit, Garissa)</t>
  </si>
  <si>
    <t>NGOs, County Governments, Research Bodies</t>
  </si>
  <si>
    <t>EUR</t>
  </si>
  <si>
    <t>EDF 12th Round</t>
  </si>
  <si>
    <t>delegation-kenya@eeas.europa.eu</t>
  </si>
  <si>
    <t>https://www.eeas.europa.eu/kenya</t>
  </si>
  <si>
    <t>Applications in English or French. DEVCO rules apply.</t>
  </si>
  <si>
    <t>KE-AFDB-2025-007</t>
  </si>
  <si>
    <t>African Development Bank</t>
  </si>
  <si>
    <t>AfDB Youth Entrepreneurship &amp; Innovation Fund</t>
  </si>
  <si>
    <t>African Development Bank (AfDB)</t>
  </si>
  <si>
    <t>Multilateral</t>
  </si>
  <si>
    <t>Youth Entrepreneurship &amp; SME</t>
  </si>
  <si>
    <t>Pan-Africa (Kenya eligible)</t>
  </si>
  <si>
    <t>Youth-led Enterprises (18-35), Universities</t>
  </si>
  <si>
    <t>Grant + Technical Assistance</t>
  </si>
  <si>
    <t>2025 YEIF Cycle</t>
  </si>
  <si>
    <t>yeif@afdb.org</t>
  </si>
  <si>
    <t>https://www.afdb.org/en/topics-and-sectors/initiatives-partnerships/youth</t>
  </si>
  <si>
    <t>Kenyan applicants must register with KEBS.</t>
  </si>
  <si>
    <t>KE-WB-2025-008</t>
  </si>
  <si>
    <t>World Bank IDA</t>
  </si>
  <si>
    <t>Kenya Devolution Support Program – County Innovation</t>
  </si>
  <si>
    <t>World Bank / International Development Association</t>
  </si>
  <si>
    <t>Governance &amp; Devolution</t>
  </si>
  <si>
    <t>47 Counties</t>
  </si>
  <si>
    <t>County Governments, Parastatals</t>
  </si>
  <si>
    <t>Closed</t>
  </si>
  <si>
    <t>FY 2024</t>
  </si>
  <si>
    <t>kenyacountygrants@worldbank.org</t>
  </si>
  <si>
    <t>https://projects.worldbank.org/en/projects-operations/projects-list</t>
  </si>
  <si>
    <t>Applications closed. Evaluation in progress.</t>
  </si>
  <si>
    <t>KE-KCDF-2025-009</t>
  </si>
  <si>
    <t>KCDF</t>
  </si>
  <si>
    <t>Kenya Community Development Foundation – Grassroots Grants</t>
  </si>
  <si>
    <t>Kenya Community Development Foundation (KCDF)</t>
  </si>
  <si>
    <t>Local Foundation</t>
  </si>
  <si>
    <t>Community Development &amp; Livelihoods</t>
  </si>
  <si>
    <t>All Counties (priority: marginalized areas)</t>
  </si>
  <si>
    <t>CBOs, Self-Help Groups, Small NGOs</t>
  </si>
  <si>
    <t>2025 Grassroots Round</t>
  </si>
  <si>
    <t>grants@kcdf.or.ke</t>
  </si>
  <si>
    <t>https://www.kcdf.or.ke/grants</t>
  </si>
  <si>
    <t>Must have 3 years audited accounts. No profit-making entities.</t>
  </si>
  <si>
    <t>KE-APHRC-2025-010</t>
  </si>
  <si>
    <t>APHRC Small Grants</t>
  </si>
  <si>
    <t>African Population &amp; Health Research Center – Small Grants</t>
  </si>
  <si>
    <t>African Population &amp; Health Research Center (APHRC)</t>
  </si>
  <si>
    <t>Regional Research Institute</t>
  </si>
  <si>
    <t>Public Health &amp; Demography</t>
  </si>
  <si>
    <t>Sub-Saharan Africa (Kenya focus)</t>
  </si>
  <si>
    <t>Early-career Researchers</t>
  </si>
  <si>
    <t>2025 Small Grants Program</t>
  </si>
  <si>
    <t>smallgrants@aphrc.org</t>
  </si>
  <si>
    <t>https://aphrc.org/grants</t>
  </si>
  <si>
    <t>Preference for women researchers and researchers from LMIC institutions.</t>
  </si>
  <si>
    <t>KE-IDRC-2025-011</t>
  </si>
  <si>
    <t>IDRC</t>
  </si>
  <si>
    <t>IDRC – Collaborative Research on Climate Adaptation in Eastern Africa</t>
  </si>
  <si>
    <t>International Development Research Centre (IDRC)</t>
  </si>
  <si>
    <t>Bilateral (Canada)</t>
  </si>
  <si>
    <t>Climate Change &amp; Adaptation</t>
  </si>
  <si>
    <t>Eastern Africa (Kenya, Uganda, Tanzania, Ethiopia)</t>
  </si>
  <si>
    <t>Universities, Think Tanks, NGOs</t>
  </si>
  <si>
    <t>CAD</t>
  </si>
  <si>
    <t>EACAN 2025</t>
  </si>
  <si>
    <t>info@idrc.ca</t>
  </si>
  <si>
    <t>https://www.idrc.ca/en/funding</t>
  </si>
  <si>
    <t>Must include at least 2 Eastern African institutions.</t>
  </si>
  <si>
    <t>KE-KOTDA-2025-012</t>
  </si>
  <si>
    <t>KoTDA</t>
  </si>
  <si>
    <t>Kenya Off-Grid Solar Market Campaign – SME Fund</t>
  </si>
  <si>
    <t>Kenya Off-Grid Solar Task Force (KoTDA / KOSAP)</t>
  </si>
  <si>
    <t>Energy &amp; Climate</t>
  </si>
  <si>
    <t>Underserved Counties (KOSAP Counties)</t>
  </si>
  <si>
    <t>SMEs, Energy Startups</t>
  </si>
  <si>
    <t>Matching Grant</t>
  </si>
  <si>
    <t>KOSAP Round 3</t>
  </si>
  <si>
    <t>kosap@energy.go.ke</t>
  </si>
  <si>
    <t>https://www.energy.go.ke/kosap</t>
  </si>
  <si>
    <t>Requires 50% co-financing from applicant.</t>
  </si>
  <si>
    <t>KE-KASNEB-2025-013</t>
  </si>
  <si>
    <t>KASNEB</t>
  </si>
  <si>
    <t>Research Fund – Financial Inclusion &amp; Capital Markets</t>
  </si>
  <si>
    <t>KASNEB Trust Fund</t>
  </si>
  <si>
    <t>Finance &amp; Capital Markets</t>
  </si>
  <si>
    <t>Universities, Research Institutions, Think Tanks</t>
  </si>
  <si>
    <t>2025 Cycle</t>
  </si>
  <si>
    <t>research@kasneb.or.ke</t>
  </si>
  <si>
    <t>https://www.kasneb.or.ke</t>
  </si>
  <si>
    <t>Topics must align to NSE or CBK financial inclusion strategy.</t>
  </si>
  <si>
    <t>KE-SIDA-2025-014</t>
  </si>
  <si>
    <t>Sida Kenya</t>
  </si>
  <si>
    <t>Sida – Gender Equality &amp; Women's Economic Empowerment</t>
  </si>
  <si>
    <t>Swedish International Development Cooperation Agency (Sida)</t>
  </si>
  <si>
    <t>Gender &amp; Social Development</t>
  </si>
  <si>
    <t>National (with county-level implementation)</t>
  </si>
  <si>
    <t>NGOs, CSOs</t>
  </si>
  <si>
    <t>Project Grant</t>
  </si>
  <si>
    <t>SEK</t>
  </si>
  <si>
    <t>2024-2025 Round</t>
  </si>
  <si>
    <t>sida.nairobi@sida.se</t>
  </si>
  <si>
    <t>https://www.sida.se/en/for-partners</t>
  </si>
  <si>
    <t>Closed for applications. Awards to be announced Q3 2025.</t>
  </si>
  <si>
    <t>KE-TOTAL-2025-015</t>
  </si>
  <si>
    <t>TotalEnergies Kenya</t>
  </si>
  <si>
    <t>TotalEnergies – Clean Energy for Education Initiative</t>
  </si>
  <si>
    <t>Private Sector / CSR</t>
  </si>
  <si>
    <t>Energy &amp; Education</t>
  </si>
  <si>
    <t>Rural Counties</t>
  </si>
  <si>
    <t>Schools, NGOs, CBOs</t>
  </si>
  <si>
    <t>CSR Grant</t>
  </si>
  <si>
    <t>2025 CSR Round</t>
  </si>
  <si>
    <t>csr.kenya@totalenergies.com</t>
  </si>
  <si>
    <t>https://totalenergies.com/society/access-energy</t>
  </si>
  <si>
    <t>Targeting off-grid primary schools. Partnership with KP&amp;LC required.</t>
  </si>
  <si>
    <t>KE-KENFAP-2025-016</t>
  </si>
  <si>
    <t>KENFAP</t>
  </si>
  <si>
    <t>Kenya National Farmers Federation – Agri-Input Support Fund</t>
  </si>
  <si>
    <t>Kenya National Federation of Agricultural Producers (KENFAP)</t>
  </si>
  <si>
    <t>Local NGO/Federation</t>
  </si>
  <si>
    <t>Agriculture &amp; Livestock</t>
  </si>
  <si>
    <t>All Counties</t>
  </si>
  <si>
    <t>Farmers' Co-ops, SACCOs</t>
  </si>
  <si>
    <t>Subsidy Grant</t>
  </si>
  <si>
    <t>2025 AIS Round</t>
  </si>
  <si>
    <t>info@kenfap.or.ke</t>
  </si>
  <si>
    <t>https://kenfap.or.ke</t>
  </si>
  <si>
    <t>Must be a registered co-operative with at least 30 members.</t>
  </si>
  <si>
    <t>KE-GIZ-2025-017</t>
  </si>
  <si>
    <t>GIZ Kenya</t>
  </si>
  <si>
    <t>GIZ – ProSoil Kenya: Sustainable Land Management</t>
  </si>
  <si>
    <t>Deutsche Gesellschaft für Internationale Zusammenarbeit (GIZ)</t>
  </si>
  <si>
    <t>Bilateral (Germany)</t>
  </si>
  <si>
    <t>Environment &amp; Land Management</t>
  </si>
  <si>
    <t>Nyandarua, Laikipia, Nakuru, Elgeyo Marakwet</t>
  </si>
  <si>
    <t>County Governments, NGOs, Research Bodies</t>
  </si>
  <si>
    <t>Technical Cooperation Grant</t>
  </si>
  <si>
    <t>ProSoil Phase II</t>
  </si>
  <si>
    <t>prosoil@giz.de</t>
  </si>
  <si>
    <t>https://www.giz.de/en/worldwide/kenya.html</t>
  </si>
  <si>
    <t>Implementing partner must have field presence in target counties.</t>
  </si>
  <si>
    <t>KE-DFID-2025-018</t>
  </si>
  <si>
    <t>FCDO Kenya</t>
  </si>
  <si>
    <t>FCDO – Inclusive Education &amp; Girls' Scholarship Fund</t>
  </si>
  <si>
    <t>UK Foreign, Commonwealth &amp; Development Office (FCDO)</t>
  </si>
  <si>
    <t>Bilateral (UK)</t>
  </si>
  <si>
    <t>Education</t>
  </si>
  <si>
    <t>Turkana, West Pokot, Samburu, Isiolo</t>
  </si>
  <si>
    <t>NGOs, County Education Depts</t>
  </si>
  <si>
    <t>ASAL Education 2025</t>
  </si>
  <si>
    <t>kenya.enquiries@fcdo.gov.uk</t>
  </si>
  <si>
    <t>https://www.gov.uk/world/kenya/news</t>
  </si>
  <si>
    <t>Child safeguarding policy mandatory. PSEA requirements apply.</t>
  </si>
  <si>
    <t>KE-AMREF-2025-019</t>
  </si>
  <si>
    <t>AMREF</t>
  </si>
  <si>
    <t>AMREF Health Africa – Community Health Volunteer Strengthening</t>
  </si>
  <si>
    <t>AMREF Health Africa</t>
  </si>
  <si>
    <t>Regional NGO</t>
  </si>
  <si>
    <t>Health &amp; Community Systems</t>
  </si>
  <si>
    <t>Kisumu, Siaya, Homa Bay, Migori</t>
  </si>
  <si>
    <t>County Health Departments, CBOs</t>
  </si>
  <si>
    <t>Sub-Grant</t>
  </si>
  <si>
    <t>CHV Program 2025</t>
  </si>
  <si>
    <t>grants.kenya@amref.org</t>
  </si>
  <si>
    <t>https://amref.org/grants</t>
  </si>
  <si>
    <t>Must align with Kenya Community Health Policy 2020-2025.</t>
  </si>
  <si>
    <t>KE-COMESA-2025-020</t>
  </si>
  <si>
    <t>COMESA</t>
  </si>
  <si>
    <t>COMESA – Regional Trade Facilitation Innovation Grant</t>
  </si>
  <si>
    <t>Common Market for Eastern &amp; Southern Africa (COMESA)</t>
  </si>
  <si>
    <t>Regional Multilateral</t>
  </si>
  <si>
    <t>Trade &amp; Economic Integration</t>
  </si>
  <si>
    <t>COMESA Member States (Kenya eligible)</t>
  </si>
  <si>
    <t>SMEs, Trade Associations</t>
  </si>
  <si>
    <t>Archived</t>
  </si>
  <si>
    <t>2024 TF Round</t>
  </si>
  <si>
    <t>grants@comesa.int</t>
  </si>
  <si>
    <t>https://www.comesa.int</t>
  </si>
  <si>
    <t>Archived. New round expected Q4 2025.</t>
  </si>
  <si>
    <t>DACORIS GrantOpportunity — API Schema v1.4  |  Endpoint: GET /api/grants/opportunities</t>
  </si>
  <si>
    <t>Field Name</t>
  </si>
  <si>
    <t>Data Type</t>
  </si>
  <si>
    <t>Required</t>
  </si>
  <si>
    <t>API Filter Param</t>
  </si>
  <si>
    <t>Allowed Values / Format</t>
  </si>
  <si>
    <t>Description (Kenyan Context)</t>
  </si>
  <si>
    <t>Example Value</t>
  </si>
  <si>
    <t>opportunity_id</t>
  </si>
  <si>
    <t>String (UUID)</t>
  </si>
  <si>
    <t>Yes</t>
  </si>
  <si>
    <t>id</t>
  </si>
  <si>
    <t>UUID v4</t>
  </si>
  <si>
    <t>Unique identifier within DACORIS</t>
  </si>
  <si>
    <t>source_system</t>
  </si>
  <si>
    <t>Enum</t>
  </si>
  <si>
    <t>DACORIS, ResearchBeeline, Manual, NACOSTI, NRFU, USAID, EU, etc.</t>
  </si>
  <si>
    <t>Origin of the opportunity record</t>
  </si>
  <si>
    <t>source_opportunity_id</t>
  </si>
  <si>
    <t>String</t>
  </si>
  <si>
    <t>source_id</t>
  </si>
  <si>
    <t>Alphanumeric</t>
  </si>
  <si>
    <t>ID from external source for de-duplication</t>
  </si>
  <si>
    <t>NACOSTI-GR-2025-004</t>
  </si>
  <si>
    <t>title</t>
  </si>
  <si>
    <t>String (500)</t>
  </si>
  <si>
    <t>search</t>
  </si>
  <si>
    <t>Free text</t>
  </si>
  <si>
    <t>Full title of the funding opportunity</t>
  </si>
  <si>
    <t>sponsor_id</t>
  </si>
  <si>
    <t>UUID / String</t>
  </si>
  <si>
    <t>UUID or sponsor short code</t>
  </si>
  <si>
    <t>Funder/sponsor unique ID in DACORIS CRM</t>
  </si>
  <si>
    <t>SP-NACOSTI-001</t>
  </si>
  <si>
    <t>sponsor_name</t>
  </si>
  <si>
    <t>sponsor</t>
  </si>
  <si>
    <t>Full name of sponsoring organization</t>
  </si>
  <si>
    <t>sponsor_type</t>
  </si>
  <si>
    <t>Government, Bilateral, Multilateral, International Foundation, Local Foundation, Regional NGO, Private Sector/CSR</t>
  </si>
  <si>
    <t>Classification of sponsor</t>
  </si>
  <si>
    <t>category</t>
  </si>
  <si>
    <t>String / Enum</t>
  </si>
  <si>
    <t>Health, Agriculture, Education, Climate, ICT, Finance, Gender, Governance, Energy, Environment, Trade, Community Dev.</t>
  </si>
  <si>
    <t>Thematic area / sector</t>
  </si>
  <si>
    <t>geography</t>
  </si>
  <si>
    <t>County name(s), 'National', 'Pan-Africa', 'COMESA region', etc.</t>
  </si>
  <si>
    <t>Geographic scope (use county names for devolved programs)</t>
  </si>
  <si>
    <t>applicant_type</t>
  </si>
  <si>
    <t>Universities, NGOs, CBOs, SMEs, County Governments, Individuals, Research Institutions, Co-ops</t>
  </si>
  <si>
    <t>Who can apply</t>
  </si>
  <si>
    <t>funding_type</t>
  </si>
  <si>
    <t>Grant, Research Grant, Challenge Grant, Cooperative Agreement, Matching Grant, Sub-Grant, Subsidy Grant, CSR Grant</t>
  </si>
  <si>
    <t>Type of financial instrument</t>
  </si>
  <si>
    <t>currency</t>
  </si>
  <si>
    <t>Enum (ISO 4217)</t>
  </si>
  <si>
    <t>KES, USD, EUR, GBP, CAD, SEK</t>
  </si>
  <si>
    <t>Award currency (use ISO code)</t>
  </si>
  <si>
    <t>amount_min</t>
  </si>
  <si>
    <t>Integer</t>
  </si>
  <si>
    <t>No</t>
  </si>
  <si>
    <t>Numeric (no commas)</t>
  </si>
  <si>
    <t>Minimum award amount in stated currency</t>
  </si>
  <si>
    <t>500000</t>
  </si>
  <si>
    <t>amount_max</t>
  </si>
  <si>
    <t>Maximum award amount in stated currency</t>
  </si>
  <si>
    <t>5000000</t>
  </si>
  <si>
    <t>open_date</t>
  </si>
  <si>
    <t>Date (ISO 8601)</t>
  </si>
  <si>
    <t>open_date_from</t>
  </si>
  <si>
    <t>YYYY-MM-DD</t>
  </si>
  <si>
    <t>Date when applications open</t>
  </si>
  <si>
    <t>2025-01-15</t>
  </si>
  <si>
    <t>deadline</t>
  </si>
  <si>
    <t>deadline_before</t>
  </si>
  <si>
    <t>Application submission deadline</t>
  </si>
  <si>
    <t>2025-07-31</t>
  </si>
  <si>
    <t>status</t>
  </si>
  <si>
    <t>Open, Closed, Upcoming, Archived</t>
  </si>
  <si>
    <t>Current status of the opportunity</t>
  </si>
  <si>
    <t>funding_round</t>
  </si>
  <si>
    <t>round</t>
  </si>
  <si>
    <t>Round or cycle name</t>
  </si>
  <si>
    <t>contact_email</t>
  </si>
  <si>
    <t>Email</t>
  </si>
  <si>
    <t>–</t>
  </si>
  <si>
    <t>Valid email format</t>
  </si>
  <si>
    <t>Contact email for enquiries</t>
  </si>
  <si>
    <t>opportunity_url</t>
  </si>
  <si>
    <t>URL</t>
  </si>
  <si>
    <t>Valid URL</t>
  </si>
  <si>
    <t>Direct link to opportunity on sponsor website</t>
  </si>
  <si>
    <t>notes</t>
  </si>
  <si>
    <t>Text</t>
  </si>
  <si>
    <t>Internal notes, conditions, co-funding requirements</t>
  </si>
  <si>
    <t>Aligned to Kenya Health Policy 2014-2030</t>
  </si>
  <si>
    <t>institution_id</t>
  </si>
  <si>
    <t>UUID</t>
  </si>
  <si>
    <t>Yes (auto)</t>
  </si>
  <si>
    <t>Auto-populated from authenticated institution</t>
  </si>
  <si>
    <t>UUID of requesting institution</t>
  </si>
  <si>
    <t>program_id</t>
  </si>
  <si>
    <t>Links to internal grant program if applicable</t>
  </si>
  <si>
    <t>UUID of matching program</t>
  </si>
  <si>
    <t>created_by</t>
  </si>
  <si>
    <t>User ID of creator (auto)</t>
  </si>
  <si>
    <t>created_at</t>
  </si>
  <si>
    <t>DateTime</t>
  </si>
  <si>
    <t>created_after</t>
  </si>
  <si>
    <t>ISO 8601</t>
  </si>
  <si>
    <t>Record creation timestamp</t>
  </si>
  <si>
    <t>2025-01-10T08:30:00+03:00</t>
  </si>
  <si>
    <t>updated_at</t>
  </si>
  <si>
    <t>updated_after</t>
  </si>
  <si>
    <t>Last modification timestamp (EAT timezone)</t>
  </si>
  <si>
    <t>2025-04-01T14:22:00+03:00</t>
  </si>
  <si>
    <t>API ENDPOINTS  —  5.2.1 Opportunity Management</t>
  </si>
  <si>
    <t>Method</t>
  </si>
  <si>
    <t>Endpoint</t>
  </si>
  <si>
    <t>Description</t>
  </si>
  <si>
    <t>GET</t>
  </si>
  <si>
    <t>/api/grants/opportunities</t>
  </si>
  <si>
    <t>List all opportunities (supports filters: status, category, sponsor, geography, deadline_before, amount_max, source_system)</t>
  </si>
  <si>
    <t>POST</t>
  </si>
  <si>
    <t>Create a new opportunity (JSON body: GrantOpportunity schema)</t>
  </si>
  <si>
    <t>/api/grants/opportunities/{id}</t>
  </si>
  <si>
    <t>Retrieve a single opportunity by ID</t>
  </si>
  <si>
    <t>PUT</t>
  </si>
  <si>
    <t>Update an existing opportunity</t>
  </si>
  <si>
    <t>DELETE</t>
  </si>
  <si>
    <t>Archive/delete an opportunity</t>
  </si>
  <si>
    <t>/api/grants/opportunities/import</t>
  </si>
  <si>
    <t>Bulk import from CSV or external source (ResearchBeeline, Excel upload)</t>
  </si>
  <si>
    <t>/api/grants/opportunities?source_system=ResearchBeeline</t>
  </si>
  <si>
    <t>Filter by external source (de-duplication by source + source_id)</t>
  </si>
  <si>
    <t>/api/grants/opportunities?status=Open&amp;geography=Nairobi</t>
  </si>
  <si>
    <t>Filter open opportunities in Nairobi County</t>
  </si>
  <si>
    <t>/api/grants/opportunities?deadline_before=2025-12-31&amp;currency=KES</t>
  </si>
  <si>
    <t>Filter KES-denominated opps closing before year-end</t>
  </si>
  <si>
    <t>🇰🇪  DACORIS — Grant Opportunities Dashboard  |  Summary Analytics</t>
  </si>
  <si>
    <t>Total Opportunities</t>
  </si>
  <si>
    <t>opportunities</t>
  </si>
  <si>
    <t>Opportunities by Sector / Category</t>
  </si>
  <si>
    <t>Opportunities by Sponsor Type</t>
  </si>
  <si>
    <t>Category</t>
  </si>
  <si>
    <t>Total</t>
  </si>
  <si>
    <t>Sponsor Type</t>
  </si>
  <si>
    <t>Count</t>
  </si>
  <si>
    <t>Max Award (KES/USD equiv)</t>
  </si>
  <si>
    <t>Reference Data — Kenya Grant Opportunities (DACORIS Module 5.2.1)</t>
  </si>
  <si>
    <t>Kenya Counties (47)</t>
  </si>
  <si>
    <t>Status Values</t>
  </si>
  <si>
    <t>Funding Types</t>
  </si>
  <si>
    <t>Sponsor Types</t>
  </si>
  <si>
    <t>Currencies</t>
  </si>
  <si>
    <t>Categories</t>
  </si>
  <si>
    <t>Mombasa</t>
  </si>
  <si>
    <t>Kwale</t>
  </si>
  <si>
    <t>Kilifi</t>
  </si>
  <si>
    <t>Tana River</t>
  </si>
  <si>
    <t>Lamu</t>
  </si>
  <si>
    <t>Taita-Taveta</t>
  </si>
  <si>
    <t>Garissa</t>
  </si>
  <si>
    <t>NOK</t>
  </si>
  <si>
    <t>Wajir</t>
  </si>
  <si>
    <t>JPY</t>
  </si>
  <si>
    <t>Mandera</t>
  </si>
  <si>
    <t>CHF</t>
  </si>
  <si>
    <t>Marsabit</t>
  </si>
  <si>
    <t>Isiolo</t>
  </si>
  <si>
    <t>Seed Funding</t>
  </si>
  <si>
    <t>Meru</t>
  </si>
  <si>
    <t>Tharaka-Nithi</t>
  </si>
  <si>
    <t>Embu</t>
  </si>
  <si>
    <t>Kitui</t>
  </si>
  <si>
    <t>Machakos</t>
  </si>
  <si>
    <t>Makueni</t>
  </si>
  <si>
    <t>Nyandarua</t>
  </si>
  <si>
    <t>Research &amp; Innovation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</si>
  <si>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</si>
  <si>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</si>
  <si>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</si>
  <si>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</si>
  <si>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</si>
  <si>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</si>
  <si>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</si>
  <si>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</si>
  <si>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</si>
  <si>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 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</si>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</sst>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6600"/>
      <name val="Arial"/>
      <charset val="1"/>
    </font>
    <font>
      <sz val="10"/>
      <color rgb="FFCC0000"/>
      <name val="Arial"/>
      <charset val="1"/>
    </font>
    <font>
      <b/>
      <sz val="10"/>
      <color rgb="FFFFFFFF"/>
      <name val="Arial"/>
      <charset val="1"/>
    </font>
    <font>
      <sz val="10"/>
      <color rgb="FF1A3C5E"/>
      <name val="Courier New"/>
      <charset val="1"/>
    </font>
    <font>
      <b/>
      <sz val="26"/>
      <color rgb="FFFFFFFF"/>
      <name val="Arial"/>
      <charset val="1"/>
    </font>
    <font>
      <b/>
      <sz val="10"/>
      <name val="Arial"/>
      <charset val="1"/>
    </font>
    <font>
      <b/>
      <sz val="12"/>
      <color rgb="FFFFFFF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A3C5E"/>
        <bgColor rgb="FF333333"/>
      </patternFill>
    </fill>
    <fill>
      <patternFill patternType="solid">
        <fgColor rgb="FF006600"/>
        <bgColor rgb="FF003300"/>
      </patternFill>
    </fill>
    <fill>
      <patternFill patternType="solid">
        <fgColor rgb="FFFFFFFF"/>
        <bgColor rgb="FFF0F7FF"/>
      </patternFill>
    </fill>
    <fill>
      <patternFill patternType="solid">
        <fgColor rgb="FFC6EFCE"/>
        <bgColor rgb="FFD9D9D9"/>
      </patternFill>
    </fill>
    <fill>
      <patternFill patternType="solid">
        <fgColor rgb="FFEFF6FB"/>
        <bgColor rgb="FFF0F7FF"/>
      </patternFill>
    </fill>
    <fill>
      <patternFill patternType="solid">
        <fgColor rgb="FFFFEB9C"/>
        <bgColor rgb="FFFFCCCC"/>
      </patternFill>
    </fill>
    <fill>
      <patternFill patternType="solid">
        <fgColor rgb="FFFFCCCC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00B05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F0F7FF"/>
        <bgColor rgb="FFEFF6FB"/>
      </patternFill>
    </fill>
    <fill>
      <patternFill patternType="solid">
        <fgColor rgb="FFFFC000"/>
        <bgColor rgb="FFFFFF00"/>
      </patternFill>
    </fill>
    <fill>
      <patternFill patternType="solid">
        <fgColor rgb="FFFF0000"/>
        <bgColor rgb="FFCC0000"/>
      </patternFill>
    </fill>
    <fill>
      <patternFill patternType="solid">
        <fgColor rgb="FFCC8800"/>
        <bgColor rgb="FFFF6600"/>
      </patternFill>
    </fill>
    <fill>
      <patternFill patternType="solid">
        <fgColor rgb="FFCC0000"/>
        <bgColor rgb="FFFF0000"/>
      </patternFill>
    </fill>
    <fill>
      <patternFill patternType="solid">
        <fgColor rgb="FF666666"/>
        <bgColor rgb="FF808080"/>
      </patternFill>
    </fill>
  </fills>
  <borders count="4">
    <border>
      <left/>
      <right/>
      <top/>
      <bottom/>
      <diagonal/>
    </border>
    <border>
      <left style="thin">
        <color rgb="FFAACCE0"/>
      </left>
      <right style="thin">
        <color rgb="FFAACCE0"/>
      </right>
      <top style="thin">
        <color rgb="FFAACCE0"/>
      </top>
      <bottom style="thin">
        <color rgb="FFAACCE0"/>
      </bottom>
      <diagonal/>
    </border>
    <border>
      <left style="thin">
        <color rgb="FFAACCE0"/>
      </left>
      <right/>
      <top style="thin">
        <color rgb="FFAACCE0"/>
      </top>
      <bottom style="thin">
        <color rgb="FFAACCE0"/>
      </bottom>
      <diagonal/>
    </border>
    <border>
      <left/>
      <right/>
      <top/>
      <bottom style="thin">
        <color rgb="FFAACCE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1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12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right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CC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6FB"/>
      <rgbColor rgb="FFF0F7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AACCE0"/>
      <rgbColor rgb="FFFF99CC"/>
      <rgbColor rgb="FFCC99FF"/>
      <rgbColor rgb="FFFFCCCC"/>
      <rgbColor rgb="FF3366FF"/>
      <rgbColor rgb="FF33CCCC"/>
      <rgbColor rgb="FF99CC00"/>
      <rgbColor rgb="FFFFC000"/>
      <rgbColor rgb="FFCC8800"/>
      <rgbColor rgb="FFFF6600"/>
      <rgbColor rgb="FF666666"/>
      <rgbColor rgb="FF969696"/>
      <rgbColor rgb="FF1A3C5E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portunitiesTable" displayName="OpportunitiesTable" ref="A3:T23" totalsRowShown="0">
  <autoFilter ref="A3:T23" xr:uid="{00000000-0009-0000-0100-000001000000}"/>
  <tableColumns count="20">
    <tableColumn id="1" xr3:uid="{00000000-0010-0000-0000-000001000000}" name="OPPORTUNITY ID_x000a_(source_id)"/>
    <tableColumn id="2" xr3:uid="{00000000-0010-0000-0000-000002000000}" name="SOURCE_x000a_SYSTEM"/>
    <tableColumn id="3" xr3:uid="{00000000-0010-0000-0000-000003000000}" name="OPPORTUNITY TITLE"/>
    <tableColumn id="4" xr3:uid="{00000000-0010-0000-0000-000004000000}" name="SPONSOR / FUNDER"/>
    <tableColumn id="5" xr3:uid="{00000000-0010-0000-0000-000005000000}" name="SPONSOR_x000a_TYPE"/>
    <tableColumn id="6" xr3:uid="{00000000-0010-0000-0000-000006000000}" name="CATEGORY /_x000a_SECTOR"/>
    <tableColumn id="7" xr3:uid="{00000000-0010-0000-0000-000007000000}" name="GEOGRAPHY /_x000a_COUNTY"/>
    <tableColumn id="8" xr3:uid="{00000000-0010-0000-0000-000008000000}" name="ELIGIBLE_x000a_APPLICANTS"/>
    <tableColumn id="9" xr3:uid="{00000000-0010-0000-0000-000009000000}" name="FUNDING_x000a_TYPE"/>
    <tableColumn id="10" xr3:uid="{00000000-0010-0000-0000-00000A000000}" name="CCY"/>
    <tableColumn id="11" xr3:uid="{00000000-0010-0000-0000-00000B000000}" name="MIN AWARD_x000a_(KES/USD)"/>
    <tableColumn id="12" xr3:uid="{00000000-0010-0000-0000-00000C000000}" name="MAX AWARD_x000a_(KES/USD)"/>
    <tableColumn id="13" xr3:uid="{00000000-0010-0000-0000-00000D000000}" name="OPEN DATE"/>
    <tableColumn id="14" xr3:uid="{00000000-0010-0000-0000-00000E000000}" name="DEADLINE"/>
    <tableColumn id="15" xr3:uid="{00000000-0010-0000-0000-00000F000000}" name="DAYS_x000a_REMAINING"/>
    <tableColumn id="16" xr3:uid="{00000000-0010-0000-0000-000010000000}" name="STATUS"/>
    <tableColumn id="17" xr3:uid="{00000000-0010-0000-0000-000011000000}" name="ROUND /_x000a_CYCLE"/>
    <tableColumn id="18" xr3:uid="{00000000-0010-0000-0000-000012000000}" name="CONTACT EMAIL"/>
    <tableColumn id="19" xr3:uid="{00000000-0010-0000-0000-000013000000}" name="OPPORTUNITY URL"/>
    <tableColumn id="20" xr3:uid="{00000000-0010-0000-0000-000014000000}" name="INTERNAL 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showGridLines="0" tabSelected="1" zoomScaleNormal="100" workbookViewId="0">
      <pane ySplit="2" topLeftCell="A3" activePane="bottomLeft" state="frozen"/>
      <selection pane="bottomLeft" activeCell="A2" activeCellId="1" sqref="A1:XFD1 A2:XFD2"/>
    </sheetView>
  </sheetViews>
  <sheetFormatPr defaultColWidth="8.7109375" defaultRowHeight="15" x14ac:dyDescent="0.25"/>
  <cols>
    <col min="1" max="1" width="14" customWidth="1"/>
    <col min="2" max="2" width="16" customWidth="1"/>
    <col min="3" max="3" width="40" customWidth="1"/>
    <col min="4" max="4" width="28" customWidth="1"/>
    <col min="5" max="5" width="14" customWidth="1"/>
    <col min="6" max="7" width="20" customWidth="1"/>
    <col min="8" max="8" width="22" customWidth="1"/>
    <col min="9" max="9" width="16" customWidth="1"/>
    <col min="10" max="10" width="8" customWidth="1"/>
    <col min="11" max="12" width="14" customWidth="1"/>
    <col min="13" max="14" width="13" customWidth="1"/>
    <col min="15" max="15" width="12" customWidth="1"/>
    <col min="16" max="16" width="13" customWidth="1"/>
    <col min="17" max="17" width="14" customWidth="1"/>
    <col min="18" max="18" width="28" customWidth="1"/>
    <col min="19" max="19" width="35" customWidth="1"/>
    <col min="20" max="20" width="30" customWidth="1"/>
  </cols>
  <sheetData>
    <row r="1" spans="1:20" ht="49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25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</row>
    <row r="3" spans="1:20" ht="39.75" customHeight="1" x14ac:dyDescent="0.25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  <c r="P3" s="15" t="s">
        <v>17</v>
      </c>
      <c r="Q3" s="15" t="s">
        <v>18</v>
      </c>
      <c r="R3" s="15" t="s">
        <v>19</v>
      </c>
      <c r="S3" s="15" t="s">
        <v>20</v>
      </c>
      <c r="T3" s="15" t="s">
        <v>21</v>
      </c>
    </row>
    <row r="4" spans="1:20" ht="27.75" customHeight="1" x14ac:dyDescent="0.25">
      <c r="A4" s="16" t="s">
        <v>22</v>
      </c>
      <c r="B4" s="17" t="s">
        <v>23</v>
      </c>
      <c r="C4" s="16" t="s">
        <v>24</v>
      </c>
      <c r="D4" s="16" t="s">
        <v>25</v>
      </c>
      <c r="E4" s="17" t="s">
        <v>26</v>
      </c>
      <c r="F4" s="16" t="s">
        <v>27</v>
      </c>
      <c r="G4" s="16" t="s">
        <v>28</v>
      </c>
      <c r="H4" s="16" t="s">
        <v>29</v>
      </c>
      <c r="I4" s="17" t="s">
        <v>30</v>
      </c>
      <c r="J4" s="17" t="s">
        <v>31</v>
      </c>
      <c r="K4" s="18">
        <v>500000</v>
      </c>
      <c r="L4" s="18">
        <v>5000000</v>
      </c>
      <c r="M4" s="19">
        <v>45672</v>
      </c>
      <c r="N4" s="19">
        <v>45869</v>
      </c>
      <c r="O4" s="20">
        <f t="shared" ref="O4:O23" ca="1" si="0">IF(N4="","",MAX(0,N4-TODAY()))</f>
        <v>0</v>
      </c>
      <c r="P4" s="21" t="s">
        <v>32</v>
      </c>
      <c r="Q4" s="17" t="s">
        <v>33</v>
      </c>
      <c r="R4" s="16" t="s">
        <v>34</v>
      </c>
      <c r="S4" s="16" t="s">
        <v>35</v>
      </c>
      <c r="T4" s="16" t="s">
        <v>36</v>
      </c>
    </row>
    <row r="5" spans="1:20" ht="27.75" customHeight="1" x14ac:dyDescent="0.25">
      <c r="A5" s="22" t="s">
        <v>37</v>
      </c>
      <c r="B5" s="23" t="s">
        <v>38</v>
      </c>
      <c r="C5" s="22" t="s">
        <v>39</v>
      </c>
      <c r="D5" s="22" t="s">
        <v>40</v>
      </c>
      <c r="E5" s="23" t="s">
        <v>26</v>
      </c>
      <c r="F5" s="22" t="s">
        <v>41</v>
      </c>
      <c r="G5" s="22" t="s">
        <v>28</v>
      </c>
      <c r="H5" s="22" t="s">
        <v>42</v>
      </c>
      <c r="I5" s="23" t="s">
        <v>30</v>
      </c>
      <c r="J5" s="23" t="s">
        <v>31</v>
      </c>
      <c r="K5" s="24">
        <v>1000000</v>
      </c>
      <c r="L5" s="24">
        <v>10000000</v>
      </c>
      <c r="M5" s="25">
        <v>45689</v>
      </c>
      <c r="N5" s="25">
        <v>45884</v>
      </c>
      <c r="O5" s="26">
        <f t="shared" ca="1" si="0"/>
        <v>0</v>
      </c>
      <c r="P5" s="21" t="s">
        <v>32</v>
      </c>
      <c r="Q5" s="23" t="s">
        <v>43</v>
      </c>
      <c r="R5" s="22" t="s">
        <v>44</v>
      </c>
      <c r="S5" s="22" t="s">
        <v>45</v>
      </c>
      <c r="T5" s="22" t="s">
        <v>46</v>
      </c>
    </row>
    <row r="6" spans="1:20" ht="27.75" customHeight="1" x14ac:dyDescent="0.25">
      <c r="A6" s="16" t="s">
        <v>47</v>
      </c>
      <c r="B6" s="17" t="s">
        <v>48</v>
      </c>
      <c r="C6" s="16" t="s">
        <v>49</v>
      </c>
      <c r="D6" s="16" t="s">
        <v>48</v>
      </c>
      <c r="E6" s="17" t="s">
        <v>50</v>
      </c>
      <c r="F6" s="16" t="s">
        <v>51</v>
      </c>
      <c r="G6" s="16" t="s">
        <v>52</v>
      </c>
      <c r="H6" s="16" t="s">
        <v>53</v>
      </c>
      <c r="I6" s="17" t="s">
        <v>54</v>
      </c>
      <c r="J6" s="17" t="s">
        <v>55</v>
      </c>
      <c r="K6" s="18">
        <v>100000</v>
      </c>
      <c r="L6" s="18">
        <v>2000000</v>
      </c>
      <c r="M6" s="19">
        <v>45717</v>
      </c>
      <c r="N6" s="19">
        <v>45930</v>
      </c>
      <c r="O6" s="20">
        <f t="shared" ca="1" si="0"/>
        <v>0</v>
      </c>
      <c r="P6" s="21" t="s">
        <v>32</v>
      </c>
      <c r="Q6" s="17" t="s">
        <v>56</v>
      </c>
      <c r="R6" s="16" t="s">
        <v>57</v>
      </c>
      <c r="S6" s="16" t="s">
        <v>58</v>
      </c>
      <c r="T6" s="16" t="s">
        <v>59</v>
      </c>
    </row>
    <row r="7" spans="1:20" ht="27.75" customHeight="1" x14ac:dyDescent="0.25">
      <c r="A7" s="22" t="s">
        <v>60</v>
      </c>
      <c r="B7" s="23" t="s">
        <v>61</v>
      </c>
      <c r="C7" s="22" t="s">
        <v>62</v>
      </c>
      <c r="D7" s="22" t="s">
        <v>61</v>
      </c>
      <c r="E7" s="23" t="s">
        <v>63</v>
      </c>
      <c r="F7" s="22" t="s">
        <v>64</v>
      </c>
      <c r="G7" s="22" t="s">
        <v>28</v>
      </c>
      <c r="H7" s="22" t="s">
        <v>65</v>
      </c>
      <c r="I7" s="23" t="s">
        <v>66</v>
      </c>
      <c r="J7" s="23" t="s">
        <v>67</v>
      </c>
      <c r="K7" s="24">
        <v>50000</v>
      </c>
      <c r="L7" s="24">
        <v>500000</v>
      </c>
      <c r="M7" s="25">
        <v>45658</v>
      </c>
      <c r="N7" s="25">
        <v>45838</v>
      </c>
      <c r="O7" s="26">
        <f t="shared" ca="1" si="0"/>
        <v>0</v>
      </c>
      <c r="P7" s="27" t="s">
        <v>68</v>
      </c>
      <c r="Q7" s="23" t="s">
        <v>69</v>
      </c>
      <c r="R7" s="22" t="s">
        <v>70</v>
      </c>
      <c r="S7" s="22" t="s">
        <v>71</v>
      </c>
      <c r="T7" s="22" t="s">
        <v>72</v>
      </c>
    </row>
    <row r="8" spans="1:20" ht="27.75" customHeight="1" x14ac:dyDescent="0.25">
      <c r="A8" s="16" t="s">
        <v>73</v>
      </c>
      <c r="B8" s="17" t="s">
        <v>74</v>
      </c>
      <c r="C8" s="16" t="s">
        <v>75</v>
      </c>
      <c r="D8" s="16" t="s">
        <v>76</v>
      </c>
      <c r="E8" s="17" t="s">
        <v>63</v>
      </c>
      <c r="F8" s="16" t="s">
        <v>77</v>
      </c>
      <c r="G8" s="16" t="s">
        <v>28</v>
      </c>
      <c r="H8" s="16" t="s">
        <v>78</v>
      </c>
      <c r="I8" s="17" t="s">
        <v>79</v>
      </c>
      <c r="J8" s="17" t="s">
        <v>55</v>
      </c>
      <c r="K8" s="18">
        <v>50000</v>
      </c>
      <c r="L8" s="18">
        <v>1000000</v>
      </c>
      <c r="M8" s="19">
        <v>45748</v>
      </c>
      <c r="N8" s="19">
        <v>45961</v>
      </c>
      <c r="O8" s="20">
        <f t="shared" ca="1" si="0"/>
        <v>0</v>
      </c>
      <c r="P8" s="27" t="s">
        <v>68</v>
      </c>
      <c r="Q8" s="17" t="s">
        <v>80</v>
      </c>
      <c r="R8" s="16" t="s">
        <v>81</v>
      </c>
      <c r="S8" s="16" t="s">
        <v>82</v>
      </c>
      <c r="T8" s="16" t="s">
        <v>83</v>
      </c>
    </row>
    <row r="9" spans="1:20" ht="27.75" customHeight="1" x14ac:dyDescent="0.25">
      <c r="A9" s="22" t="s">
        <v>84</v>
      </c>
      <c r="B9" s="23" t="s">
        <v>85</v>
      </c>
      <c r="C9" s="22" t="s">
        <v>86</v>
      </c>
      <c r="D9" s="22" t="s">
        <v>87</v>
      </c>
      <c r="E9" s="23" t="s">
        <v>50</v>
      </c>
      <c r="F9" s="22" t="s">
        <v>88</v>
      </c>
      <c r="G9" s="22" t="s">
        <v>89</v>
      </c>
      <c r="H9" s="22" t="s">
        <v>90</v>
      </c>
      <c r="I9" s="23" t="s">
        <v>30</v>
      </c>
      <c r="J9" s="23" t="s">
        <v>91</v>
      </c>
      <c r="K9" s="24">
        <v>200000</v>
      </c>
      <c r="L9" s="24">
        <v>3000000</v>
      </c>
      <c r="M9" s="25">
        <v>45703</v>
      </c>
      <c r="N9" s="25">
        <v>45853</v>
      </c>
      <c r="O9" s="26">
        <f t="shared" ca="1" si="0"/>
        <v>0</v>
      </c>
      <c r="P9" s="21" t="s">
        <v>32</v>
      </c>
      <c r="Q9" s="23" t="s">
        <v>92</v>
      </c>
      <c r="R9" s="22" t="s">
        <v>93</v>
      </c>
      <c r="S9" s="22" t="s">
        <v>94</v>
      </c>
      <c r="T9" s="22" t="s">
        <v>95</v>
      </c>
    </row>
    <row r="10" spans="1:20" ht="27.75" customHeight="1" x14ac:dyDescent="0.25">
      <c r="A10" s="16" t="s">
        <v>96</v>
      </c>
      <c r="B10" s="17" t="s">
        <v>97</v>
      </c>
      <c r="C10" s="16" t="s">
        <v>98</v>
      </c>
      <c r="D10" s="16" t="s">
        <v>99</v>
      </c>
      <c r="E10" s="17" t="s">
        <v>100</v>
      </c>
      <c r="F10" s="16" t="s">
        <v>101</v>
      </c>
      <c r="G10" s="16" t="s">
        <v>102</v>
      </c>
      <c r="H10" s="16" t="s">
        <v>103</v>
      </c>
      <c r="I10" s="17" t="s">
        <v>104</v>
      </c>
      <c r="J10" s="17" t="s">
        <v>55</v>
      </c>
      <c r="K10" s="18">
        <v>25000</v>
      </c>
      <c r="L10" s="18">
        <v>250000</v>
      </c>
      <c r="M10" s="19">
        <v>45731</v>
      </c>
      <c r="N10" s="19">
        <v>45901</v>
      </c>
      <c r="O10" s="20">
        <f t="shared" ca="1" si="0"/>
        <v>0</v>
      </c>
      <c r="P10" s="21" t="s">
        <v>32</v>
      </c>
      <c r="Q10" s="17" t="s">
        <v>105</v>
      </c>
      <c r="R10" s="16" t="s">
        <v>106</v>
      </c>
      <c r="S10" s="16" t="s">
        <v>107</v>
      </c>
      <c r="T10" s="16" t="s">
        <v>108</v>
      </c>
    </row>
    <row r="11" spans="1:20" ht="27.75" customHeight="1" x14ac:dyDescent="0.25">
      <c r="A11" s="22" t="s">
        <v>109</v>
      </c>
      <c r="B11" s="23" t="s">
        <v>110</v>
      </c>
      <c r="C11" s="22" t="s">
        <v>111</v>
      </c>
      <c r="D11" s="22" t="s">
        <v>112</v>
      </c>
      <c r="E11" s="23" t="s">
        <v>100</v>
      </c>
      <c r="F11" s="22" t="s">
        <v>113</v>
      </c>
      <c r="G11" s="22" t="s">
        <v>114</v>
      </c>
      <c r="H11" s="22" t="s">
        <v>115</v>
      </c>
      <c r="I11" s="23" t="s">
        <v>30</v>
      </c>
      <c r="J11" s="23" t="s">
        <v>55</v>
      </c>
      <c r="K11" s="24">
        <v>500000</v>
      </c>
      <c r="L11" s="24">
        <v>5000000</v>
      </c>
      <c r="M11" s="25">
        <v>45597</v>
      </c>
      <c r="N11" s="25">
        <v>45808</v>
      </c>
      <c r="O11" s="28">
        <f t="shared" ca="1" si="0"/>
        <v>0</v>
      </c>
      <c r="P11" s="29" t="s">
        <v>116</v>
      </c>
      <c r="Q11" s="23" t="s">
        <v>117</v>
      </c>
      <c r="R11" s="22" t="s">
        <v>118</v>
      </c>
      <c r="S11" s="22" t="s">
        <v>119</v>
      </c>
      <c r="T11" s="22" t="s">
        <v>120</v>
      </c>
    </row>
    <row r="12" spans="1:20" ht="27.75" customHeight="1" x14ac:dyDescent="0.25">
      <c r="A12" s="16" t="s">
        <v>121</v>
      </c>
      <c r="B12" s="17" t="s">
        <v>122</v>
      </c>
      <c r="C12" s="16" t="s">
        <v>123</v>
      </c>
      <c r="D12" s="16" t="s">
        <v>124</v>
      </c>
      <c r="E12" s="17" t="s">
        <v>125</v>
      </c>
      <c r="F12" s="16" t="s">
        <v>126</v>
      </c>
      <c r="G12" s="16" t="s">
        <v>127</v>
      </c>
      <c r="H12" s="16" t="s">
        <v>128</v>
      </c>
      <c r="I12" s="17" t="s">
        <v>30</v>
      </c>
      <c r="J12" s="17" t="s">
        <v>31</v>
      </c>
      <c r="K12" s="18">
        <v>50000</v>
      </c>
      <c r="L12" s="18">
        <v>500000</v>
      </c>
      <c r="M12" s="19">
        <v>45677</v>
      </c>
      <c r="N12" s="19">
        <v>45828</v>
      </c>
      <c r="O12" s="20">
        <f t="shared" ca="1" si="0"/>
        <v>0</v>
      </c>
      <c r="P12" s="21" t="s">
        <v>32</v>
      </c>
      <c r="Q12" s="17" t="s">
        <v>129</v>
      </c>
      <c r="R12" s="16" t="s">
        <v>130</v>
      </c>
      <c r="S12" s="16" t="s">
        <v>131</v>
      </c>
      <c r="T12" s="16" t="s">
        <v>132</v>
      </c>
    </row>
    <row r="13" spans="1:20" ht="27.75" customHeight="1" x14ac:dyDescent="0.25">
      <c r="A13" s="22" t="s">
        <v>133</v>
      </c>
      <c r="B13" s="23" t="s">
        <v>134</v>
      </c>
      <c r="C13" s="22" t="s">
        <v>135</v>
      </c>
      <c r="D13" s="22" t="s">
        <v>136</v>
      </c>
      <c r="E13" s="23" t="s">
        <v>137</v>
      </c>
      <c r="F13" s="22" t="s">
        <v>138</v>
      </c>
      <c r="G13" s="22" t="s">
        <v>139</v>
      </c>
      <c r="H13" s="22" t="s">
        <v>140</v>
      </c>
      <c r="I13" s="23" t="s">
        <v>66</v>
      </c>
      <c r="J13" s="23" t="s">
        <v>55</v>
      </c>
      <c r="K13" s="24">
        <v>10000</v>
      </c>
      <c r="L13" s="24">
        <v>30000</v>
      </c>
      <c r="M13" s="25">
        <v>45762</v>
      </c>
      <c r="N13" s="25">
        <v>45900</v>
      </c>
      <c r="O13" s="26">
        <f t="shared" ca="1" si="0"/>
        <v>0</v>
      </c>
      <c r="P13" s="27" t="s">
        <v>68</v>
      </c>
      <c r="Q13" s="23" t="s">
        <v>141</v>
      </c>
      <c r="R13" s="22" t="s">
        <v>142</v>
      </c>
      <c r="S13" s="22" t="s">
        <v>143</v>
      </c>
      <c r="T13" s="22" t="s">
        <v>144</v>
      </c>
    </row>
    <row r="14" spans="1:20" ht="27.75" customHeight="1" x14ac:dyDescent="0.25">
      <c r="A14" s="16" t="s">
        <v>145</v>
      </c>
      <c r="B14" s="17" t="s">
        <v>146</v>
      </c>
      <c r="C14" s="16" t="s">
        <v>147</v>
      </c>
      <c r="D14" s="16" t="s">
        <v>148</v>
      </c>
      <c r="E14" s="17" t="s">
        <v>149</v>
      </c>
      <c r="F14" s="16" t="s">
        <v>150</v>
      </c>
      <c r="G14" s="16" t="s">
        <v>151</v>
      </c>
      <c r="H14" s="16" t="s">
        <v>152</v>
      </c>
      <c r="I14" s="17" t="s">
        <v>66</v>
      </c>
      <c r="J14" s="17" t="s">
        <v>153</v>
      </c>
      <c r="K14" s="18">
        <v>150000</v>
      </c>
      <c r="L14" s="18">
        <v>750000</v>
      </c>
      <c r="M14" s="19">
        <v>45778</v>
      </c>
      <c r="N14" s="19">
        <v>45991</v>
      </c>
      <c r="O14" s="20">
        <f t="shared" ca="1" si="0"/>
        <v>0</v>
      </c>
      <c r="P14" s="27" t="s">
        <v>68</v>
      </c>
      <c r="Q14" s="17" t="s">
        <v>154</v>
      </c>
      <c r="R14" s="16" t="s">
        <v>155</v>
      </c>
      <c r="S14" s="16" t="s">
        <v>156</v>
      </c>
      <c r="T14" s="16" t="s">
        <v>157</v>
      </c>
    </row>
    <row r="15" spans="1:20" ht="27.75" customHeight="1" x14ac:dyDescent="0.25">
      <c r="A15" s="22" t="s">
        <v>158</v>
      </c>
      <c r="B15" s="23" t="s">
        <v>159</v>
      </c>
      <c r="C15" s="22" t="s">
        <v>160</v>
      </c>
      <c r="D15" s="22" t="s">
        <v>161</v>
      </c>
      <c r="E15" s="23" t="s">
        <v>26</v>
      </c>
      <c r="F15" s="22" t="s">
        <v>162</v>
      </c>
      <c r="G15" s="22" t="s">
        <v>163</v>
      </c>
      <c r="H15" s="22" t="s">
        <v>164</v>
      </c>
      <c r="I15" s="23" t="s">
        <v>165</v>
      </c>
      <c r="J15" s="23" t="s">
        <v>31</v>
      </c>
      <c r="K15" s="24">
        <v>300000</v>
      </c>
      <c r="L15" s="24">
        <v>3000000</v>
      </c>
      <c r="M15" s="25">
        <v>45717</v>
      </c>
      <c r="N15" s="25">
        <v>45870</v>
      </c>
      <c r="O15" s="26">
        <f t="shared" ca="1" si="0"/>
        <v>0</v>
      </c>
      <c r="P15" s="21" t="s">
        <v>32</v>
      </c>
      <c r="Q15" s="23" t="s">
        <v>166</v>
      </c>
      <c r="R15" s="22" t="s">
        <v>167</v>
      </c>
      <c r="S15" s="22" t="s">
        <v>168</v>
      </c>
      <c r="T15" s="22" t="s">
        <v>169</v>
      </c>
    </row>
    <row r="16" spans="1:20" ht="27.75" customHeight="1" x14ac:dyDescent="0.25">
      <c r="A16" s="16" t="s">
        <v>170</v>
      </c>
      <c r="B16" s="17" t="s">
        <v>171</v>
      </c>
      <c r="C16" s="16" t="s">
        <v>172</v>
      </c>
      <c r="D16" s="16" t="s">
        <v>173</v>
      </c>
      <c r="E16" s="17" t="s">
        <v>26</v>
      </c>
      <c r="F16" s="16" t="s">
        <v>174</v>
      </c>
      <c r="G16" s="16" t="s">
        <v>28</v>
      </c>
      <c r="H16" s="16" t="s">
        <v>175</v>
      </c>
      <c r="I16" s="17" t="s">
        <v>30</v>
      </c>
      <c r="J16" s="17" t="s">
        <v>31</v>
      </c>
      <c r="K16" s="18">
        <v>200000</v>
      </c>
      <c r="L16" s="18">
        <v>2000000</v>
      </c>
      <c r="M16" s="19">
        <v>45716</v>
      </c>
      <c r="N16" s="19">
        <v>45868</v>
      </c>
      <c r="O16" s="20">
        <f t="shared" ca="1" si="0"/>
        <v>0</v>
      </c>
      <c r="P16" s="21" t="s">
        <v>32</v>
      </c>
      <c r="Q16" s="17" t="s">
        <v>176</v>
      </c>
      <c r="R16" s="16" t="s">
        <v>177</v>
      </c>
      <c r="S16" s="16" t="s">
        <v>178</v>
      </c>
      <c r="T16" s="16" t="s">
        <v>179</v>
      </c>
    </row>
    <row r="17" spans="1:20" ht="27.75" customHeight="1" x14ac:dyDescent="0.25">
      <c r="A17" s="22" t="s">
        <v>180</v>
      </c>
      <c r="B17" s="23" t="s">
        <v>181</v>
      </c>
      <c r="C17" s="22" t="s">
        <v>182</v>
      </c>
      <c r="D17" s="22" t="s">
        <v>183</v>
      </c>
      <c r="E17" s="23" t="s">
        <v>50</v>
      </c>
      <c r="F17" s="22" t="s">
        <v>184</v>
      </c>
      <c r="G17" s="22" t="s">
        <v>185</v>
      </c>
      <c r="H17" s="22" t="s">
        <v>186</v>
      </c>
      <c r="I17" s="23" t="s">
        <v>187</v>
      </c>
      <c r="J17" s="23" t="s">
        <v>188</v>
      </c>
      <c r="K17" s="24">
        <v>500000</v>
      </c>
      <c r="L17" s="24">
        <v>5000000</v>
      </c>
      <c r="M17" s="25">
        <v>45658</v>
      </c>
      <c r="N17" s="25">
        <v>45823</v>
      </c>
      <c r="O17" s="28">
        <f t="shared" ca="1" si="0"/>
        <v>0</v>
      </c>
      <c r="P17" s="29" t="s">
        <v>116</v>
      </c>
      <c r="Q17" s="23" t="s">
        <v>189</v>
      </c>
      <c r="R17" s="22" t="s">
        <v>190</v>
      </c>
      <c r="S17" s="22" t="s">
        <v>191</v>
      </c>
      <c r="T17" s="22" t="s">
        <v>192</v>
      </c>
    </row>
    <row r="18" spans="1:20" ht="27.75" customHeight="1" x14ac:dyDescent="0.25">
      <c r="A18" s="16" t="s">
        <v>193</v>
      </c>
      <c r="B18" s="17" t="s">
        <v>194</v>
      </c>
      <c r="C18" s="16" t="s">
        <v>195</v>
      </c>
      <c r="D18" s="16" t="s">
        <v>194</v>
      </c>
      <c r="E18" s="17" t="s">
        <v>196</v>
      </c>
      <c r="F18" s="16" t="s">
        <v>197</v>
      </c>
      <c r="G18" s="16" t="s">
        <v>198</v>
      </c>
      <c r="H18" s="16" t="s">
        <v>199</v>
      </c>
      <c r="I18" s="17" t="s">
        <v>200</v>
      </c>
      <c r="J18" s="17" t="s">
        <v>31</v>
      </c>
      <c r="K18" s="18">
        <v>100000</v>
      </c>
      <c r="L18" s="18">
        <v>1000000</v>
      </c>
      <c r="M18" s="19">
        <v>45809</v>
      </c>
      <c r="N18" s="19">
        <v>46022</v>
      </c>
      <c r="O18" s="20">
        <f t="shared" ca="1" si="0"/>
        <v>0</v>
      </c>
      <c r="P18" s="27" t="s">
        <v>68</v>
      </c>
      <c r="Q18" s="17" t="s">
        <v>201</v>
      </c>
      <c r="R18" s="16" t="s">
        <v>202</v>
      </c>
      <c r="S18" s="16" t="s">
        <v>203</v>
      </c>
      <c r="T18" s="16" t="s">
        <v>204</v>
      </c>
    </row>
    <row r="19" spans="1:20" ht="27.75" customHeight="1" x14ac:dyDescent="0.25">
      <c r="A19" s="22" t="s">
        <v>205</v>
      </c>
      <c r="B19" s="23" t="s">
        <v>206</v>
      </c>
      <c r="C19" s="22" t="s">
        <v>207</v>
      </c>
      <c r="D19" s="22" t="s">
        <v>208</v>
      </c>
      <c r="E19" s="23" t="s">
        <v>209</v>
      </c>
      <c r="F19" s="22" t="s">
        <v>210</v>
      </c>
      <c r="G19" s="22" t="s">
        <v>211</v>
      </c>
      <c r="H19" s="22" t="s">
        <v>212</v>
      </c>
      <c r="I19" s="23" t="s">
        <v>213</v>
      </c>
      <c r="J19" s="23" t="s">
        <v>31</v>
      </c>
      <c r="K19" s="24">
        <v>50000</v>
      </c>
      <c r="L19" s="24">
        <v>300000</v>
      </c>
      <c r="M19" s="25">
        <v>45748</v>
      </c>
      <c r="N19" s="25">
        <v>45930</v>
      </c>
      <c r="O19" s="26">
        <f t="shared" ca="1" si="0"/>
        <v>0</v>
      </c>
      <c r="P19" s="27" t="s">
        <v>68</v>
      </c>
      <c r="Q19" s="23" t="s">
        <v>214</v>
      </c>
      <c r="R19" s="22" t="s">
        <v>215</v>
      </c>
      <c r="S19" s="22" t="s">
        <v>216</v>
      </c>
      <c r="T19" s="22" t="s">
        <v>217</v>
      </c>
    </row>
    <row r="20" spans="1:20" ht="27.75" customHeight="1" x14ac:dyDescent="0.25">
      <c r="A20" s="16" t="s">
        <v>218</v>
      </c>
      <c r="B20" s="17" t="s">
        <v>219</v>
      </c>
      <c r="C20" s="16" t="s">
        <v>220</v>
      </c>
      <c r="D20" s="16" t="s">
        <v>221</v>
      </c>
      <c r="E20" s="17" t="s">
        <v>222</v>
      </c>
      <c r="F20" s="16" t="s">
        <v>223</v>
      </c>
      <c r="G20" s="16" t="s">
        <v>224</v>
      </c>
      <c r="H20" s="16" t="s">
        <v>225</v>
      </c>
      <c r="I20" s="17" t="s">
        <v>226</v>
      </c>
      <c r="J20" s="17" t="s">
        <v>91</v>
      </c>
      <c r="K20" s="18">
        <v>100000</v>
      </c>
      <c r="L20" s="18">
        <v>800000</v>
      </c>
      <c r="M20" s="19">
        <v>45689</v>
      </c>
      <c r="N20" s="19">
        <v>45839</v>
      </c>
      <c r="O20" s="20">
        <f t="shared" ca="1" si="0"/>
        <v>0</v>
      </c>
      <c r="P20" s="21" t="s">
        <v>32</v>
      </c>
      <c r="Q20" s="17" t="s">
        <v>227</v>
      </c>
      <c r="R20" s="16" t="s">
        <v>228</v>
      </c>
      <c r="S20" s="16" t="s">
        <v>229</v>
      </c>
      <c r="T20" s="16" t="s">
        <v>230</v>
      </c>
    </row>
    <row r="21" spans="1:20" ht="27.75" customHeight="1" x14ac:dyDescent="0.25">
      <c r="A21" s="22" t="s">
        <v>231</v>
      </c>
      <c r="B21" s="23" t="s">
        <v>232</v>
      </c>
      <c r="C21" s="22" t="s">
        <v>233</v>
      </c>
      <c r="D21" s="22" t="s">
        <v>234</v>
      </c>
      <c r="E21" s="23" t="s">
        <v>235</v>
      </c>
      <c r="F21" s="22" t="s">
        <v>236</v>
      </c>
      <c r="G21" s="22" t="s">
        <v>237</v>
      </c>
      <c r="H21" s="22" t="s">
        <v>238</v>
      </c>
      <c r="I21" s="23" t="s">
        <v>30</v>
      </c>
      <c r="J21" s="23" t="s">
        <v>67</v>
      </c>
      <c r="K21" s="24">
        <v>75000</v>
      </c>
      <c r="L21" s="24">
        <v>600000</v>
      </c>
      <c r="M21" s="25">
        <v>45736</v>
      </c>
      <c r="N21" s="25">
        <v>45889</v>
      </c>
      <c r="O21" s="26">
        <f t="shared" ca="1" si="0"/>
        <v>0</v>
      </c>
      <c r="P21" s="21" t="s">
        <v>32</v>
      </c>
      <c r="Q21" s="23" t="s">
        <v>239</v>
      </c>
      <c r="R21" s="22" t="s">
        <v>240</v>
      </c>
      <c r="S21" s="22" t="s">
        <v>241</v>
      </c>
      <c r="T21" s="22" t="s">
        <v>242</v>
      </c>
    </row>
    <row r="22" spans="1:20" ht="27.75" customHeight="1" x14ac:dyDescent="0.25">
      <c r="A22" s="16" t="s">
        <v>243</v>
      </c>
      <c r="B22" s="17" t="s">
        <v>244</v>
      </c>
      <c r="C22" s="16" t="s">
        <v>245</v>
      </c>
      <c r="D22" s="16" t="s">
        <v>246</v>
      </c>
      <c r="E22" s="17" t="s">
        <v>247</v>
      </c>
      <c r="F22" s="16" t="s">
        <v>248</v>
      </c>
      <c r="G22" s="16" t="s">
        <v>249</v>
      </c>
      <c r="H22" s="16" t="s">
        <v>250</v>
      </c>
      <c r="I22" s="17" t="s">
        <v>251</v>
      </c>
      <c r="J22" s="17" t="s">
        <v>55</v>
      </c>
      <c r="K22" s="18">
        <v>20000</v>
      </c>
      <c r="L22" s="18">
        <v>150000</v>
      </c>
      <c r="M22" s="19">
        <v>45792</v>
      </c>
      <c r="N22" s="19">
        <v>45945</v>
      </c>
      <c r="O22" s="20">
        <f t="shared" ca="1" si="0"/>
        <v>0</v>
      </c>
      <c r="P22" s="27" t="s">
        <v>68</v>
      </c>
      <c r="Q22" s="17" t="s">
        <v>252</v>
      </c>
      <c r="R22" s="16" t="s">
        <v>253</v>
      </c>
      <c r="S22" s="16" t="s">
        <v>254</v>
      </c>
      <c r="T22" s="16" t="s">
        <v>255</v>
      </c>
    </row>
    <row r="23" spans="1:20" ht="27.75" customHeight="1" x14ac:dyDescent="0.25">
      <c r="A23" s="22" t="s">
        <v>256</v>
      </c>
      <c r="B23" s="23" t="s">
        <v>257</v>
      </c>
      <c r="C23" s="22" t="s">
        <v>258</v>
      </c>
      <c r="D23" s="22" t="s">
        <v>259</v>
      </c>
      <c r="E23" s="23" t="s">
        <v>260</v>
      </c>
      <c r="F23" s="22" t="s">
        <v>261</v>
      </c>
      <c r="G23" s="22" t="s">
        <v>262</v>
      </c>
      <c r="H23" s="22" t="s">
        <v>263</v>
      </c>
      <c r="I23" s="23" t="s">
        <v>30</v>
      </c>
      <c r="J23" s="23" t="s">
        <v>55</v>
      </c>
      <c r="K23" s="24">
        <v>30000</v>
      </c>
      <c r="L23" s="24">
        <v>200000</v>
      </c>
      <c r="M23" s="25">
        <v>45667</v>
      </c>
      <c r="N23" s="25">
        <v>45787</v>
      </c>
      <c r="O23" s="30">
        <f t="shared" ca="1" si="0"/>
        <v>0</v>
      </c>
      <c r="P23" s="31" t="s">
        <v>264</v>
      </c>
      <c r="Q23" s="23" t="s">
        <v>265</v>
      </c>
      <c r="R23" s="22" t="s">
        <v>266</v>
      </c>
      <c r="S23" s="22" t="s">
        <v>267</v>
      </c>
      <c r="T23" s="22" t="s">
        <v>268</v>
      </c>
    </row>
  </sheetData>
  <mergeCells count="2">
    <mergeCell ref="A1:T1"/>
    <mergeCell ref="A2:T2"/>
  </mergeCells>
  <conditionalFormatting sqref="O4:O23">
    <cfRule type="expression" dxfId="5" priority="6">
      <formula>AND($O4&lt;=7,$O4&gt;0)</formula>
    </cfRule>
    <cfRule type="expression" dxfId="4" priority="7">
      <formula>AND($O4&lt;=30,$O4&gt;7)</formula>
    </cfRule>
  </conditionalFormatting>
  <conditionalFormatting sqref="P4:P23">
    <cfRule type="expression" dxfId="3" priority="2">
      <formula>$P4="Open"</formula>
    </cfRule>
    <cfRule type="expression" dxfId="2" priority="3">
      <formula>$P4="Closed"</formula>
    </cfRule>
    <cfRule type="expression" dxfId="1" priority="4">
      <formula>$P4="Upcoming"</formula>
    </cfRule>
    <cfRule type="expression" dxfId="0" priority="5">
      <formula>$P4="Archived"</formula>
    </cfRule>
  </conditionalFormatting>
  <dataValidations count="2">
    <dataValidation type="list" sqref="P4:P23" xr:uid="{00000000-0002-0000-0000-000000000000}">
      <formula1>"Open,Closed,Upcoming,Archived"</formula1>
      <formula2>0</formula2>
    </dataValidation>
    <dataValidation type="list" allowBlank="1" sqref="I4:I23" xr:uid="{00000000-0002-0000-0000-000001000000}">
      <formula1>"Grant,Research Grant,Challenge Grant,Cooperative Agreement,Matching Grant,Sub-Grant,Technical Cooperation Grant,CSR Grant,Subsidy Grant,Project Grant"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60" customWidth="1"/>
    <col min="3" max="3" width="80" customWidth="1"/>
    <col min="4" max="4" width="22" customWidth="1"/>
    <col min="5" max="5" width="38" customWidth="1"/>
    <col min="6" max="6" width="42" customWidth="1"/>
    <col min="7" max="7" width="30" customWidth="1"/>
  </cols>
  <sheetData>
    <row r="1" spans="1:7" ht="36" customHeight="1" x14ac:dyDescent="0.25">
      <c r="A1" s="12" t="s">
        <v>269</v>
      </c>
      <c r="B1" s="12"/>
      <c r="C1" s="12"/>
      <c r="D1" s="12"/>
      <c r="E1" s="12"/>
      <c r="F1" s="12"/>
      <c r="G1" s="12"/>
    </row>
    <row r="2" spans="1:7" ht="31.5" customHeight="1" x14ac:dyDescent="0.25">
      <c r="A2" s="15" t="s">
        <v>270</v>
      </c>
      <c r="B2" s="15" t="s">
        <v>271</v>
      </c>
      <c r="C2" s="15" t="s">
        <v>272</v>
      </c>
      <c r="D2" s="15" t="s">
        <v>273</v>
      </c>
      <c r="E2" s="15" t="s">
        <v>274</v>
      </c>
      <c r="F2" s="15" t="s">
        <v>275</v>
      </c>
      <c r="G2" s="15" t="s">
        <v>276</v>
      </c>
    </row>
    <row r="3" spans="1:7" ht="24" customHeight="1" x14ac:dyDescent="0.25">
      <c r="A3" s="32" t="s">
        <v>277</v>
      </c>
      <c r="B3" s="32" t="s">
        <v>278</v>
      </c>
      <c r="C3" s="33" t="s">
        <v>279</v>
      </c>
      <c r="D3" s="32" t="s">
        <v>280</v>
      </c>
      <c r="E3" s="32" t="s">
        <v>281</v>
      </c>
      <c r="F3" s="32" t="s">
        <v>282</v>
      </c>
      <c r="G3" s="32" t="s">
        <v>22</v>
      </c>
    </row>
    <row r="4" spans="1:7" ht="24" customHeight="1" x14ac:dyDescent="0.25">
      <c r="A4" s="34" t="s">
        <v>283</v>
      </c>
      <c r="B4" s="34" t="s">
        <v>284</v>
      </c>
      <c r="C4" s="35" t="s">
        <v>279</v>
      </c>
      <c r="D4" s="34" t="s">
        <v>283</v>
      </c>
      <c r="E4" s="34" t="s">
        <v>285</v>
      </c>
      <c r="F4" s="34" t="s">
        <v>286</v>
      </c>
      <c r="G4" s="34" t="s">
        <v>23</v>
      </c>
    </row>
    <row r="5" spans="1:7" ht="24" customHeight="1" x14ac:dyDescent="0.25">
      <c r="A5" s="32" t="s">
        <v>287</v>
      </c>
      <c r="B5" s="32" t="s">
        <v>288</v>
      </c>
      <c r="C5" s="33" t="s">
        <v>279</v>
      </c>
      <c r="D5" s="32" t="s">
        <v>289</v>
      </c>
      <c r="E5" s="32" t="s">
        <v>290</v>
      </c>
      <c r="F5" s="32" t="s">
        <v>291</v>
      </c>
      <c r="G5" s="32" t="s">
        <v>292</v>
      </c>
    </row>
    <row r="6" spans="1:7" ht="24" customHeight="1" x14ac:dyDescent="0.25">
      <c r="A6" s="34" t="s">
        <v>293</v>
      </c>
      <c r="B6" s="34" t="s">
        <v>294</v>
      </c>
      <c r="C6" s="35" t="s">
        <v>279</v>
      </c>
      <c r="D6" s="34" t="s">
        <v>295</v>
      </c>
      <c r="E6" s="34" t="s">
        <v>296</v>
      </c>
      <c r="F6" s="34" t="s">
        <v>297</v>
      </c>
      <c r="G6" s="34" t="s">
        <v>24</v>
      </c>
    </row>
    <row r="7" spans="1:7" ht="24" customHeight="1" x14ac:dyDescent="0.25">
      <c r="A7" s="32" t="s">
        <v>298</v>
      </c>
      <c r="B7" s="32" t="s">
        <v>299</v>
      </c>
      <c r="C7" s="33" t="s">
        <v>279</v>
      </c>
      <c r="D7" s="32" t="s">
        <v>298</v>
      </c>
      <c r="E7" s="32" t="s">
        <v>300</v>
      </c>
      <c r="F7" s="32" t="s">
        <v>301</v>
      </c>
      <c r="G7" s="32" t="s">
        <v>302</v>
      </c>
    </row>
    <row r="8" spans="1:7" ht="24" customHeight="1" x14ac:dyDescent="0.25">
      <c r="A8" s="34" t="s">
        <v>303</v>
      </c>
      <c r="B8" s="34" t="s">
        <v>288</v>
      </c>
      <c r="C8" s="35" t="s">
        <v>279</v>
      </c>
      <c r="D8" s="34" t="s">
        <v>304</v>
      </c>
      <c r="E8" s="34" t="s">
        <v>296</v>
      </c>
      <c r="F8" s="34" t="s">
        <v>305</v>
      </c>
      <c r="G8" s="34" t="s">
        <v>23</v>
      </c>
    </row>
    <row r="9" spans="1:7" ht="24" customHeight="1" x14ac:dyDescent="0.25">
      <c r="A9" s="32" t="s">
        <v>306</v>
      </c>
      <c r="B9" s="32" t="s">
        <v>284</v>
      </c>
      <c r="C9" s="33" t="s">
        <v>279</v>
      </c>
      <c r="D9" s="32" t="s">
        <v>306</v>
      </c>
      <c r="E9" s="32" t="s">
        <v>307</v>
      </c>
      <c r="F9" s="32" t="s">
        <v>308</v>
      </c>
      <c r="G9" s="32" t="s">
        <v>26</v>
      </c>
    </row>
    <row r="10" spans="1:7" ht="24" customHeight="1" x14ac:dyDescent="0.25">
      <c r="A10" s="34" t="s">
        <v>309</v>
      </c>
      <c r="B10" s="34" t="s">
        <v>310</v>
      </c>
      <c r="C10" s="35" t="s">
        <v>279</v>
      </c>
      <c r="D10" s="34" t="s">
        <v>309</v>
      </c>
      <c r="E10" s="34" t="s">
        <v>311</v>
      </c>
      <c r="F10" s="34" t="s">
        <v>312</v>
      </c>
      <c r="G10" s="34" t="s">
        <v>27</v>
      </c>
    </row>
    <row r="11" spans="1:7" ht="24" customHeight="1" x14ac:dyDescent="0.25">
      <c r="A11" s="32" t="s">
        <v>313</v>
      </c>
      <c r="B11" s="32" t="s">
        <v>288</v>
      </c>
      <c r="C11" s="33" t="s">
        <v>279</v>
      </c>
      <c r="D11" s="32" t="s">
        <v>313</v>
      </c>
      <c r="E11" s="32" t="s">
        <v>314</v>
      </c>
      <c r="F11" s="32" t="s">
        <v>315</v>
      </c>
      <c r="G11" s="32" t="s">
        <v>52</v>
      </c>
    </row>
    <row r="12" spans="1:7" ht="24" customHeight="1" x14ac:dyDescent="0.25">
      <c r="A12" s="34" t="s">
        <v>316</v>
      </c>
      <c r="B12" s="34" t="s">
        <v>288</v>
      </c>
      <c r="C12" s="35" t="s">
        <v>279</v>
      </c>
      <c r="D12" s="34" t="s">
        <v>316</v>
      </c>
      <c r="E12" s="34" t="s">
        <v>317</v>
      </c>
      <c r="F12" s="34" t="s">
        <v>318</v>
      </c>
      <c r="G12" s="34" t="s">
        <v>29</v>
      </c>
    </row>
    <row r="13" spans="1:7" ht="24" customHeight="1" x14ac:dyDescent="0.25">
      <c r="A13" s="32" t="s">
        <v>319</v>
      </c>
      <c r="B13" s="32" t="s">
        <v>284</v>
      </c>
      <c r="C13" s="33" t="s">
        <v>279</v>
      </c>
      <c r="D13" s="32" t="s">
        <v>319</v>
      </c>
      <c r="E13" s="32" t="s">
        <v>320</v>
      </c>
      <c r="F13" s="32" t="s">
        <v>321</v>
      </c>
      <c r="G13" s="32" t="s">
        <v>30</v>
      </c>
    </row>
    <row r="14" spans="1:7" ht="24" customHeight="1" x14ac:dyDescent="0.25">
      <c r="A14" s="34" t="s">
        <v>322</v>
      </c>
      <c r="B14" s="34" t="s">
        <v>323</v>
      </c>
      <c r="C14" s="35" t="s">
        <v>279</v>
      </c>
      <c r="D14" s="34" t="s">
        <v>322</v>
      </c>
      <c r="E14" s="34" t="s">
        <v>324</v>
      </c>
      <c r="F14" s="34" t="s">
        <v>325</v>
      </c>
      <c r="G14" s="34" t="s">
        <v>31</v>
      </c>
    </row>
    <row r="15" spans="1:7" ht="24" customHeight="1" x14ac:dyDescent="0.25">
      <c r="A15" s="32" t="s">
        <v>326</v>
      </c>
      <c r="B15" s="32" t="s">
        <v>327</v>
      </c>
      <c r="C15" s="36" t="s">
        <v>328</v>
      </c>
      <c r="D15" s="32" t="s">
        <v>326</v>
      </c>
      <c r="E15" s="32" t="s">
        <v>329</v>
      </c>
      <c r="F15" s="32" t="s">
        <v>330</v>
      </c>
      <c r="G15" s="32" t="s">
        <v>331</v>
      </c>
    </row>
    <row r="16" spans="1:7" ht="24" customHeight="1" x14ac:dyDescent="0.25">
      <c r="A16" s="34" t="s">
        <v>332</v>
      </c>
      <c r="B16" s="34" t="s">
        <v>327</v>
      </c>
      <c r="C16" s="37" t="s">
        <v>328</v>
      </c>
      <c r="D16" s="34" t="s">
        <v>332</v>
      </c>
      <c r="E16" s="34" t="s">
        <v>329</v>
      </c>
      <c r="F16" s="34" t="s">
        <v>333</v>
      </c>
      <c r="G16" s="34" t="s">
        <v>334</v>
      </c>
    </row>
    <row r="17" spans="1:7" ht="24" customHeight="1" x14ac:dyDescent="0.25">
      <c r="A17" s="32" t="s">
        <v>335</v>
      </c>
      <c r="B17" s="32" t="s">
        <v>336</v>
      </c>
      <c r="C17" s="36" t="s">
        <v>328</v>
      </c>
      <c r="D17" s="32" t="s">
        <v>337</v>
      </c>
      <c r="E17" s="32" t="s">
        <v>338</v>
      </c>
      <c r="F17" s="32" t="s">
        <v>339</v>
      </c>
      <c r="G17" s="32" t="s">
        <v>340</v>
      </c>
    </row>
    <row r="18" spans="1:7" ht="24" customHeight="1" x14ac:dyDescent="0.25">
      <c r="A18" s="34" t="s">
        <v>341</v>
      </c>
      <c r="B18" s="34" t="s">
        <v>336</v>
      </c>
      <c r="C18" s="35" t="s">
        <v>279</v>
      </c>
      <c r="D18" s="34" t="s">
        <v>342</v>
      </c>
      <c r="E18" s="34" t="s">
        <v>338</v>
      </c>
      <c r="F18" s="34" t="s">
        <v>343</v>
      </c>
      <c r="G18" s="34" t="s">
        <v>344</v>
      </c>
    </row>
    <row r="19" spans="1:7" ht="24" customHeight="1" x14ac:dyDescent="0.25">
      <c r="A19" s="32" t="s">
        <v>345</v>
      </c>
      <c r="B19" s="32" t="s">
        <v>284</v>
      </c>
      <c r="C19" s="33" t="s">
        <v>279</v>
      </c>
      <c r="D19" s="32" t="s">
        <v>345</v>
      </c>
      <c r="E19" s="32" t="s">
        <v>346</v>
      </c>
      <c r="F19" s="32" t="s">
        <v>347</v>
      </c>
      <c r="G19" s="32" t="s">
        <v>32</v>
      </c>
    </row>
    <row r="20" spans="1:7" ht="24" customHeight="1" x14ac:dyDescent="0.25">
      <c r="A20" s="34" t="s">
        <v>348</v>
      </c>
      <c r="B20" s="34" t="s">
        <v>288</v>
      </c>
      <c r="C20" s="37" t="s">
        <v>328</v>
      </c>
      <c r="D20" s="34" t="s">
        <v>349</v>
      </c>
      <c r="E20" s="34" t="s">
        <v>296</v>
      </c>
      <c r="F20" s="34" t="s">
        <v>350</v>
      </c>
      <c r="G20" s="34" t="s">
        <v>33</v>
      </c>
    </row>
    <row r="21" spans="1:7" ht="24" customHeight="1" x14ac:dyDescent="0.25">
      <c r="A21" s="32" t="s">
        <v>351</v>
      </c>
      <c r="B21" s="32" t="s">
        <v>352</v>
      </c>
      <c r="C21" s="36" t="s">
        <v>328</v>
      </c>
      <c r="D21" s="32" t="s">
        <v>353</v>
      </c>
      <c r="E21" s="32" t="s">
        <v>354</v>
      </c>
      <c r="F21" s="32" t="s">
        <v>355</v>
      </c>
      <c r="G21" s="32" t="s">
        <v>34</v>
      </c>
    </row>
    <row r="22" spans="1:7" ht="24" customHeight="1" x14ac:dyDescent="0.25">
      <c r="A22" s="34" t="s">
        <v>356</v>
      </c>
      <c r="B22" s="34" t="s">
        <v>357</v>
      </c>
      <c r="C22" s="37" t="s">
        <v>328</v>
      </c>
      <c r="D22" s="34" t="s">
        <v>353</v>
      </c>
      <c r="E22" s="34" t="s">
        <v>358</v>
      </c>
      <c r="F22" s="34" t="s">
        <v>359</v>
      </c>
      <c r="G22" s="34" t="s">
        <v>35</v>
      </c>
    </row>
    <row r="23" spans="1:7" ht="24" customHeight="1" x14ac:dyDescent="0.25">
      <c r="A23" s="32" t="s">
        <v>360</v>
      </c>
      <c r="B23" s="32" t="s">
        <v>361</v>
      </c>
      <c r="C23" s="36" t="s">
        <v>328</v>
      </c>
      <c r="D23" s="32" t="s">
        <v>353</v>
      </c>
      <c r="E23" s="32" t="s">
        <v>296</v>
      </c>
      <c r="F23" s="32" t="s">
        <v>362</v>
      </c>
      <c r="G23" s="32" t="s">
        <v>363</v>
      </c>
    </row>
    <row r="24" spans="1:7" ht="24" customHeight="1" x14ac:dyDescent="0.25">
      <c r="A24" s="34" t="s">
        <v>364</v>
      </c>
      <c r="B24" s="34" t="s">
        <v>365</v>
      </c>
      <c r="C24" s="37" t="s">
        <v>366</v>
      </c>
      <c r="D24" s="34" t="s">
        <v>364</v>
      </c>
      <c r="E24" s="34" t="s">
        <v>365</v>
      </c>
      <c r="F24" s="34" t="s">
        <v>367</v>
      </c>
      <c r="G24" s="34" t="s">
        <v>368</v>
      </c>
    </row>
    <row r="25" spans="1:7" ht="24" customHeight="1" x14ac:dyDescent="0.25">
      <c r="A25" s="32" t="s">
        <v>369</v>
      </c>
      <c r="B25" s="32" t="s">
        <v>365</v>
      </c>
      <c r="C25" s="36" t="s">
        <v>328</v>
      </c>
      <c r="D25" s="32" t="s">
        <v>369</v>
      </c>
      <c r="E25" s="32" t="s">
        <v>365</v>
      </c>
      <c r="F25" s="32" t="s">
        <v>370</v>
      </c>
      <c r="G25" s="32" t="s">
        <v>371</v>
      </c>
    </row>
    <row r="26" spans="1:7" ht="24" customHeight="1" x14ac:dyDescent="0.25">
      <c r="A26" s="34" t="s">
        <v>372</v>
      </c>
      <c r="B26" s="34" t="s">
        <v>365</v>
      </c>
      <c r="C26" s="37" t="s">
        <v>366</v>
      </c>
      <c r="D26" s="34" t="s">
        <v>353</v>
      </c>
      <c r="E26" s="34" t="s">
        <v>365</v>
      </c>
      <c r="F26" s="34" t="s">
        <v>373</v>
      </c>
      <c r="G26" s="34" t="s">
        <v>365</v>
      </c>
    </row>
    <row r="27" spans="1:7" ht="24" customHeight="1" x14ac:dyDescent="0.25">
      <c r="A27" s="32" t="s">
        <v>374</v>
      </c>
      <c r="B27" s="32" t="s">
        <v>375</v>
      </c>
      <c r="C27" s="36" t="s">
        <v>366</v>
      </c>
      <c r="D27" s="32" t="s">
        <v>376</v>
      </c>
      <c r="E27" s="32" t="s">
        <v>377</v>
      </c>
      <c r="F27" s="32" t="s">
        <v>378</v>
      </c>
      <c r="G27" s="32" t="s">
        <v>379</v>
      </c>
    </row>
    <row r="28" spans="1:7" ht="24" customHeight="1" x14ac:dyDescent="0.25">
      <c r="A28" s="34" t="s">
        <v>380</v>
      </c>
      <c r="B28" s="34" t="s">
        <v>375</v>
      </c>
      <c r="C28" s="37" t="s">
        <v>366</v>
      </c>
      <c r="D28" s="34" t="s">
        <v>381</v>
      </c>
      <c r="E28" s="34" t="s">
        <v>377</v>
      </c>
      <c r="F28" s="34" t="s">
        <v>382</v>
      </c>
      <c r="G28" s="34" t="s">
        <v>383</v>
      </c>
    </row>
    <row r="31" spans="1:7" ht="27.75" customHeight="1" x14ac:dyDescent="0.25">
      <c r="A31" s="11" t="s">
        <v>384</v>
      </c>
      <c r="B31" s="11"/>
      <c r="C31" s="11"/>
      <c r="D31" s="11"/>
      <c r="E31" s="11"/>
      <c r="F31" s="11"/>
      <c r="G31" s="11"/>
    </row>
    <row r="32" spans="1:7" x14ac:dyDescent="0.25">
      <c r="A32" s="38" t="s">
        <v>385</v>
      </c>
      <c r="B32" s="38" t="s">
        <v>386</v>
      </c>
      <c r="C32" s="38" t="s">
        <v>387</v>
      </c>
      <c r="D32" s="10"/>
      <c r="E32" s="10"/>
      <c r="F32" s="10"/>
      <c r="G32" s="10"/>
    </row>
    <row r="33" spans="1:7" ht="21.75" customHeight="1" x14ac:dyDescent="0.25">
      <c r="A33" s="39" t="s">
        <v>388</v>
      </c>
      <c r="B33" s="40" t="s">
        <v>389</v>
      </c>
      <c r="C33" s="9" t="s">
        <v>390</v>
      </c>
      <c r="D33" s="9"/>
      <c r="E33" s="9"/>
      <c r="F33" s="9"/>
      <c r="G33" s="9"/>
    </row>
    <row r="34" spans="1:7" ht="21.75" customHeight="1" x14ac:dyDescent="0.25">
      <c r="A34" s="41" t="s">
        <v>391</v>
      </c>
      <c r="B34" s="40" t="s">
        <v>389</v>
      </c>
      <c r="C34" s="8" t="s">
        <v>392</v>
      </c>
      <c r="D34" s="8"/>
      <c r="E34" s="8"/>
      <c r="F34" s="8"/>
      <c r="G34" s="8"/>
    </row>
    <row r="35" spans="1:7" ht="21.75" customHeight="1" x14ac:dyDescent="0.25">
      <c r="A35" s="39" t="s">
        <v>388</v>
      </c>
      <c r="B35" s="40" t="s">
        <v>393</v>
      </c>
      <c r="C35" s="9" t="s">
        <v>394</v>
      </c>
      <c r="D35" s="9"/>
      <c r="E35" s="9"/>
      <c r="F35" s="9"/>
      <c r="G35" s="9"/>
    </row>
    <row r="36" spans="1:7" ht="21.75" customHeight="1" x14ac:dyDescent="0.25">
      <c r="A36" s="42" t="s">
        <v>395</v>
      </c>
      <c r="B36" s="40" t="s">
        <v>393</v>
      </c>
      <c r="C36" s="8" t="s">
        <v>396</v>
      </c>
      <c r="D36" s="8"/>
      <c r="E36" s="8"/>
      <c r="F36" s="8"/>
      <c r="G36" s="8"/>
    </row>
    <row r="37" spans="1:7" ht="21.75" customHeight="1" x14ac:dyDescent="0.25">
      <c r="A37" s="43" t="s">
        <v>397</v>
      </c>
      <c r="B37" s="40" t="s">
        <v>393</v>
      </c>
      <c r="C37" s="9" t="s">
        <v>398</v>
      </c>
      <c r="D37" s="9"/>
      <c r="E37" s="9"/>
      <c r="F37" s="9"/>
      <c r="G37" s="9"/>
    </row>
    <row r="38" spans="1:7" ht="21.75" customHeight="1" x14ac:dyDescent="0.25">
      <c r="A38" s="41" t="s">
        <v>391</v>
      </c>
      <c r="B38" s="40" t="s">
        <v>399</v>
      </c>
      <c r="C38" s="8" t="s">
        <v>400</v>
      </c>
      <c r="D38" s="8"/>
      <c r="E38" s="8"/>
      <c r="F38" s="8"/>
      <c r="G38" s="8"/>
    </row>
    <row r="39" spans="1:7" ht="21.75" customHeight="1" x14ac:dyDescent="0.25">
      <c r="A39" s="39" t="s">
        <v>388</v>
      </c>
      <c r="B39" s="40" t="s">
        <v>401</v>
      </c>
      <c r="C39" s="9" t="s">
        <v>402</v>
      </c>
      <c r="D39" s="9"/>
      <c r="E39" s="9"/>
      <c r="F39" s="9"/>
      <c r="G39" s="9"/>
    </row>
    <row r="40" spans="1:7" ht="21.75" customHeight="1" x14ac:dyDescent="0.25">
      <c r="A40" s="39" t="s">
        <v>388</v>
      </c>
      <c r="B40" s="40" t="s">
        <v>403</v>
      </c>
      <c r="C40" s="8" t="s">
        <v>404</v>
      </c>
      <c r="D40" s="8"/>
      <c r="E40" s="8"/>
      <c r="F40" s="8"/>
      <c r="G40" s="8"/>
    </row>
    <row r="41" spans="1:7" ht="21.75" customHeight="1" x14ac:dyDescent="0.25">
      <c r="A41" s="39" t="s">
        <v>388</v>
      </c>
      <c r="B41" s="40" t="s">
        <v>405</v>
      </c>
      <c r="C41" s="9" t="s">
        <v>406</v>
      </c>
      <c r="D41" s="9"/>
      <c r="E41" s="9"/>
      <c r="F41" s="9"/>
      <c r="G41" s="9"/>
    </row>
  </sheetData>
  <mergeCells count="12">
    <mergeCell ref="C40:G40"/>
    <mergeCell ref="C41:G41"/>
    <mergeCell ref="C35:G35"/>
    <mergeCell ref="C36:G36"/>
    <mergeCell ref="C37:G37"/>
    <mergeCell ref="C38:G38"/>
    <mergeCell ref="C39:G39"/>
    <mergeCell ref="A1:G1"/>
    <mergeCell ref="A31:G31"/>
    <mergeCell ref="D32:G32"/>
    <mergeCell ref="C33:G33"/>
    <mergeCell ref="C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showGridLines="0" zoomScaleNormal="100" workbookViewId="0"/>
  </sheetViews>
  <sheetFormatPr defaultColWidth="8.7109375" defaultRowHeight="15" x14ac:dyDescent="0.25"/>
  <cols>
    <col min="1" max="5" width="16" customWidth="1"/>
    <col min="6" max="6" width="28" customWidth="1"/>
    <col min="7" max="8" width="10" customWidth="1"/>
    <col min="9" max="9" width="22" customWidth="1"/>
    <col min="10" max="10" width="16" customWidth="1"/>
  </cols>
  <sheetData>
    <row r="1" spans="1:10" ht="42" customHeight="1" x14ac:dyDescent="0.25">
      <c r="A1" s="14" t="s">
        <v>407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19.5" customHeight="1" x14ac:dyDescent="0.25">
      <c r="A3" s="7" t="s">
        <v>408</v>
      </c>
      <c r="B3" s="7"/>
      <c r="C3" s="6" t="s">
        <v>32</v>
      </c>
      <c r="D3" s="6"/>
      <c r="E3" s="5" t="s">
        <v>68</v>
      </c>
      <c r="F3" s="5"/>
      <c r="G3" s="4" t="s">
        <v>116</v>
      </c>
      <c r="H3" s="4"/>
      <c r="I3" s="3" t="s">
        <v>264</v>
      </c>
      <c r="J3" s="3"/>
    </row>
    <row r="4" spans="1:10" ht="39.75" customHeight="1" x14ac:dyDescent="0.25">
      <c r="A4" s="2">
        <f>COUNTA(Opportunities!A4:A23)</f>
        <v>20</v>
      </c>
      <c r="B4" s="2"/>
      <c r="C4" s="1">
        <f>COUNTIF(Opportunities!P4:P23,"Open")</f>
        <v>10</v>
      </c>
      <c r="D4" s="1"/>
      <c r="E4" s="50">
        <f>COUNTIF(Opportunities!P4:P23,"Upcoming")</f>
        <v>7</v>
      </c>
      <c r="F4" s="50"/>
      <c r="G4" s="51">
        <f>COUNTIF(Opportunities!P4:P23,"Closed")</f>
        <v>2</v>
      </c>
      <c r="H4" s="51"/>
      <c r="I4" s="52">
        <f>COUNTIF(Opportunities!P4:P23,"Archived")</f>
        <v>1</v>
      </c>
      <c r="J4" s="52"/>
    </row>
    <row r="5" spans="1:10" ht="18" customHeight="1" x14ac:dyDescent="0.25">
      <c r="A5" s="53" t="s">
        <v>409</v>
      </c>
      <c r="B5" s="53"/>
      <c r="C5" s="13" t="s">
        <v>409</v>
      </c>
      <c r="D5" s="13"/>
      <c r="E5" s="54" t="s">
        <v>409</v>
      </c>
      <c r="F5" s="54"/>
      <c r="G5" s="55" t="s">
        <v>409</v>
      </c>
      <c r="H5" s="55"/>
      <c r="I5" s="56" t="s">
        <v>409</v>
      </c>
      <c r="J5" s="56"/>
    </row>
    <row r="7" spans="1:10" ht="30" customHeight="1" x14ac:dyDescent="0.25">
      <c r="A7" s="11" t="s">
        <v>410</v>
      </c>
      <c r="B7" s="11"/>
      <c r="C7" s="11"/>
      <c r="D7" s="11"/>
      <c r="F7" s="57" t="s">
        <v>411</v>
      </c>
      <c r="G7" s="57"/>
      <c r="H7" s="57"/>
      <c r="I7" s="57"/>
      <c r="J7" s="57"/>
    </row>
    <row r="8" spans="1:10" x14ac:dyDescent="0.25">
      <c r="A8" s="15" t="s">
        <v>412</v>
      </c>
      <c r="B8" s="15" t="s">
        <v>32</v>
      </c>
      <c r="C8" s="15" t="s">
        <v>68</v>
      </c>
      <c r="D8" s="15" t="s">
        <v>413</v>
      </c>
      <c r="F8" s="15" t="s">
        <v>414</v>
      </c>
      <c r="G8" s="15" t="s">
        <v>415</v>
      </c>
      <c r="H8" s="15" t="s">
        <v>32</v>
      </c>
      <c r="I8" s="58" t="s">
        <v>416</v>
      </c>
      <c r="J8" s="58"/>
    </row>
    <row r="9" spans="1:10" ht="19.5" customHeight="1" x14ac:dyDescent="0.25">
      <c r="A9" s="44" t="s">
        <v>27</v>
      </c>
      <c r="B9" s="45">
        <f>COUNTIFS(Opportunities!F$4:F$23,A9,Opportunities!P$4:P$23,"Open")</f>
        <v>1</v>
      </c>
      <c r="C9" s="45">
        <f>COUNTIFS(Opportunities!F$4:F$23,A9,Opportunities!P$4:P$23,"Upcoming")</f>
        <v>0</v>
      </c>
      <c r="D9" s="46">
        <f t="shared" ref="D9:D26" si="0">B9+C9</f>
        <v>1</v>
      </c>
      <c r="F9" s="44" t="s">
        <v>26</v>
      </c>
      <c r="G9" s="45">
        <f>COUNTIF(Opportunities!E$4:E$23,F9)</f>
        <v>4</v>
      </c>
      <c r="H9" s="45">
        <f>COUNTIFS(Opportunities!E$4:E$23,F9,Opportunities!P$4:P$23,"Open")</f>
        <v>4</v>
      </c>
    </row>
    <row r="10" spans="1:10" ht="19.5" customHeight="1" x14ac:dyDescent="0.25">
      <c r="A10" s="47" t="s">
        <v>41</v>
      </c>
      <c r="B10" s="48">
        <f>COUNTIFS(Opportunities!F$4:F$23,A10,Opportunities!P$4:P$23,"Open")</f>
        <v>1</v>
      </c>
      <c r="C10" s="48">
        <f>COUNTIFS(Opportunities!F$4:F$23,A10,Opportunities!P$4:P$23,"Upcoming")</f>
        <v>0</v>
      </c>
      <c r="D10" s="49">
        <f t="shared" si="0"/>
        <v>1</v>
      </c>
      <c r="F10" s="47" t="s">
        <v>50</v>
      </c>
      <c r="G10" s="48">
        <f>COUNTIF(Opportunities!E$4:E$23,F10)</f>
        <v>3</v>
      </c>
      <c r="H10" s="48">
        <f>COUNTIFS(Opportunities!E$4:E$23,F10,Opportunities!P$4:P$23,"Open")</f>
        <v>2</v>
      </c>
    </row>
    <row r="11" spans="1:10" ht="19.5" customHeight="1" x14ac:dyDescent="0.25">
      <c r="A11" s="44" t="s">
        <v>51</v>
      </c>
      <c r="B11" s="45">
        <f>COUNTIFS(Opportunities!F$4:F$23,A11,Opportunities!P$4:P$23,"Open")</f>
        <v>1</v>
      </c>
      <c r="C11" s="45">
        <f>COUNTIFS(Opportunities!F$4:F$23,A11,Opportunities!P$4:P$23,"Upcoming")</f>
        <v>0</v>
      </c>
      <c r="D11" s="46">
        <f t="shared" si="0"/>
        <v>1</v>
      </c>
      <c r="F11" s="44" t="s">
        <v>100</v>
      </c>
      <c r="G11" s="45">
        <f>COUNTIF(Opportunities!E$4:E$23,F11)</f>
        <v>2</v>
      </c>
      <c r="H11" s="45">
        <f>COUNTIFS(Opportunities!E$4:E$23,F11,Opportunities!P$4:P$23,"Open")</f>
        <v>1</v>
      </c>
    </row>
    <row r="12" spans="1:10" ht="19.5" customHeight="1" x14ac:dyDescent="0.25">
      <c r="A12" s="47" t="s">
        <v>77</v>
      </c>
      <c r="B12" s="48">
        <f>COUNTIFS(Opportunities!F$4:F$23,A12,Opportunities!P$4:P$23,"Open")</f>
        <v>0</v>
      </c>
      <c r="C12" s="48">
        <f>COUNTIFS(Opportunities!F$4:F$23,A12,Opportunities!P$4:P$23,"Upcoming")</f>
        <v>1</v>
      </c>
      <c r="D12" s="49">
        <f t="shared" si="0"/>
        <v>1</v>
      </c>
      <c r="F12" s="47" t="s">
        <v>63</v>
      </c>
      <c r="G12" s="48">
        <f>COUNTIF(Opportunities!E$4:E$23,F12)</f>
        <v>2</v>
      </c>
      <c r="H12" s="48">
        <f>COUNTIFS(Opportunities!E$4:E$23,F12,Opportunities!P$4:P$23,"Open")</f>
        <v>0</v>
      </c>
    </row>
    <row r="13" spans="1:10" ht="19.5" customHeight="1" x14ac:dyDescent="0.25">
      <c r="A13" s="44" t="s">
        <v>88</v>
      </c>
      <c r="B13" s="45">
        <f>COUNTIFS(Opportunities!F$4:F$23,A13,Opportunities!P$4:P$23,"Open")</f>
        <v>1</v>
      </c>
      <c r="C13" s="45">
        <f>COUNTIFS(Opportunities!F$4:F$23,A13,Opportunities!P$4:P$23,"Upcoming")</f>
        <v>0</v>
      </c>
      <c r="D13" s="46">
        <f t="shared" si="0"/>
        <v>1</v>
      </c>
      <c r="F13" s="44" t="s">
        <v>125</v>
      </c>
      <c r="G13" s="45">
        <f>COUNTIF(Opportunities!E$4:E$23,F13)</f>
        <v>1</v>
      </c>
      <c r="H13" s="45">
        <f>COUNTIFS(Opportunities!E$4:E$23,F13,Opportunities!P$4:P$23,"Open")</f>
        <v>1</v>
      </c>
    </row>
    <row r="14" spans="1:10" ht="19.5" customHeight="1" x14ac:dyDescent="0.25">
      <c r="A14" s="47" t="s">
        <v>162</v>
      </c>
      <c r="B14" s="48">
        <f>COUNTIFS(Opportunities!F$4:F$23,A14,Opportunities!P$4:P$23,"Open")</f>
        <v>1</v>
      </c>
      <c r="C14" s="48">
        <f>COUNTIFS(Opportunities!F$4:F$23,A14,Opportunities!P$4:P$23,"Upcoming")</f>
        <v>0</v>
      </c>
      <c r="D14" s="49">
        <f t="shared" si="0"/>
        <v>1</v>
      </c>
      <c r="F14" s="47" t="s">
        <v>247</v>
      </c>
      <c r="G14" s="48">
        <f>COUNTIF(Opportunities!E$4:E$23,F14)</f>
        <v>1</v>
      </c>
      <c r="H14" s="48">
        <f>COUNTIFS(Opportunities!E$4:E$23,F14,Opportunities!P$4:P$23,"Open")</f>
        <v>0</v>
      </c>
    </row>
    <row r="15" spans="1:10" ht="19.5" customHeight="1" x14ac:dyDescent="0.25">
      <c r="A15" s="44" t="s">
        <v>150</v>
      </c>
      <c r="B15" s="45">
        <f>COUNTIFS(Opportunities!F$4:F$23,A15,Opportunities!P$4:P$23,"Open")</f>
        <v>0</v>
      </c>
      <c r="C15" s="45">
        <f>COUNTIFS(Opportunities!F$4:F$23,A15,Opportunities!P$4:P$23,"Upcoming")</f>
        <v>1</v>
      </c>
      <c r="D15" s="46">
        <f t="shared" si="0"/>
        <v>1</v>
      </c>
      <c r="F15" s="44" t="s">
        <v>137</v>
      </c>
      <c r="G15" s="45">
        <f>COUNTIF(Opportunities!E$4:E$23,F15)</f>
        <v>1</v>
      </c>
      <c r="H15" s="45">
        <f>COUNTIFS(Opportunities!E$4:E$23,F15,Opportunities!P$4:P$23,"Open")</f>
        <v>0</v>
      </c>
    </row>
    <row r="16" spans="1:10" ht="19.5" customHeight="1" x14ac:dyDescent="0.25">
      <c r="A16" s="47" t="s">
        <v>184</v>
      </c>
      <c r="B16" s="48">
        <f>COUNTIFS(Opportunities!F$4:F$23,A16,Opportunities!P$4:P$23,"Open")</f>
        <v>0</v>
      </c>
      <c r="C16" s="48">
        <f>COUNTIFS(Opportunities!F$4:F$23,A16,Opportunities!P$4:P$23,"Upcoming")</f>
        <v>0</v>
      </c>
      <c r="D16" s="49">
        <f t="shared" si="0"/>
        <v>0</v>
      </c>
      <c r="F16" s="47" t="s">
        <v>209</v>
      </c>
      <c r="G16" s="48">
        <f>COUNTIF(Opportunities!E$4:E$23,F16)</f>
        <v>1</v>
      </c>
      <c r="H16" s="48">
        <f>COUNTIFS(Opportunities!E$4:E$23,F16,Opportunities!P$4:P$23,"Open")</f>
        <v>0</v>
      </c>
    </row>
    <row r="17" spans="1:8" ht="19.5" customHeight="1" x14ac:dyDescent="0.25">
      <c r="A17" s="44" t="s">
        <v>236</v>
      </c>
      <c r="B17" s="45">
        <f>COUNTIFS(Opportunities!F$4:F$23,A17,Opportunities!P$4:P$23,"Open")</f>
        <v>1</v>
      </c>
      <c r="C17" s="45">
        <f>COUNTIFS(Opportunities!F$4:F$23,A17,Opportunities!P$4:P$23,"Upcoming")</f>
        <v>0</v>
      </c>
      <c r="D17" s="46">
        <f t="shared" si="0"/>
        <v>1</v>
      </c>
      <c r="F17" s="44" t="s">
        <v>260</v>
      </c>
      <c r="G17" s="45">
        <f>COUNTIF(Opportunities!E$4:E$23,F17)</f>
        <v>1</v>
      </c>
      <c r="H17" s="45">
        <f>COUNTIFS(Opportunities!E$4:E$23,F17,Opportunities!P$4:P$23,"Open")</f>
        <v>0</v>
      </c>
    </row>
    <row r="18" spans="1:8" ht="19.5" customHeight="1" x14ac:dyDescent="0.25">
      <c r="A18" s="47" t="s">
        <v>126</v>
      </c>
      <c r="B18" s="48">
        <f>COUNTIFS(Opportunities!F$4:F$23,A18,Opportunities!P$4:P$23,"Open")</f>
        <v>1</v>
      </c>
      <c r="C18" s="48">
        <f>COUNTIFS(Opportunities!F$4:F$23,A18,Opportunities!P$4:P$23,"Upcoming")</f>
        <v>0</v>
      </c>
      <c r="D18" s="49">
        <f t="shared" si="0"/>
        <v>1</v>
      </c>
      <c r="F18" s="47" t="s">
        <v>196</v>
      </c>
      <c r="G18" s="48">
        <f>COUNTIF(Opportunities!E$4:E$23,F18)</f>
        <v>1</v>
      </c>
      <c r="H18" s="48">
        <f>COUNTIFS(Opportunities!E$4:E$23,F18,Opportunities!P$4:P$23,"Open")</f>
        <v>0</v>
      </c>
    </row>
    <row r="19" spans="1:8" ht="19.5" customHeight="1" x14ac:dyDescent="0.25">
      <c r="A19" s="44" t="s">
        <v>174</v>
      </c>
      <c r="B19" s="45">
        <f>COUNTIFS(Opportunities!F$4:F$23,A19,Opportunities!P$4:P$23,"Open")</f>
        <v>1</v>
      </c>
      <c r="C19" s="45">
        <f>COUNTIFS(Opportunities!F$4:F$23,A19,Opportunities!P$4:P$23,"Upcoming")</f>
        <v>0</v>
      </c>
      <c r="D19" s="46">
        <f t="shared" si="0"/>
        <v>1</v>
      </c>
    </row>
    <row r="20" spans="1:8" ht="19.5" customHeight="1" x14ac:dyDescent="0.25">
      <c r="A20" s="47" t="s">
        <v>113</v>
      </c>
      <c r="B20" s="48">
        <f>COUNTIFS(Opportunities!F$4:F$23,A20,Opportunities!P$4:P$23,"Open")</f>
        <v>0</v>
      </c>
      <c r="C20" s="48">
        <f>COUNTIFS(Opportunities!F$4:F$23,A20,Opportunities!P$4:P$23,"Upcoming")</f>
        <v>0</v>
      </c>
      <c r="D20" s="49">
        <f t="shared" si="0"/>
        <v>0</v>
      </c>
    </row>
    <row r="21" spans="1:8" ht="19.5" customHeight="1" x14ac:dyDescent="0.25">
      <c r="A21" s="44" t="s">
        <v>101</v>
      </c>
      <c r="B21" s="45">
        <f>COUNTIFS(Opportunities!F$4:F$23,A21,Opportunities!P$4:P$23,"Open")</f>
        <v>1</v>
      </c>
      <c r="C21" s="45">
        <f>COUNTIFS(Opportunities!F$4:F$23,A21,Opportunities!P$4:P$23,"Upcoming")</f>
        <v>0</v>
      </c>
      <c r="D21" s="46">
        <f t="shared" si="0"/>
        <v>1</v>
      </c>
    </row>
    <row r="22" spans="1:8" ht="19.5" customHeight="1" x14ac:dyDescent="0.25">
      <c r="A22" s="47" t="s">
        <v>261</v>
      </c>
      <c r="B22" s="48">
        <f>COUNTIFS(Opportunities!F$4:F$23,A22,Opportunities!P$4:P$23,"Open")</f>
        <v>0</v>
      </c>
      <c r="C22" s="48">
        <f>COUNTIFS(Opportunities!F$4:F$23,A22,Opportunities!P$4:P$23,"Upcoming")</f>
        <v>0</v>
      </c>
      <c r="D22" s="49">
        <f t="shared" si="0"/>
        <v>0</v>
      </c>
    </row>
    <row r="23" spans="1:8" ht="19.5" customHeight="1" x14ac:dyDescent="0.25">
      <c r="A23" s="44" t="s">
        <v>248</v>
      </c>
      <c r="B23" s="45">
        <f>COUNTIFS(Opportunities!F$4:F$23,A23,Opportunities!P$4:P$23,"Open")</f>
        <v>0</v>
      </c>
      <c r="C23" s="45">
        <f>COUNTIFS(Opportunities!F$4:F$23,A23,Opportunities!P$4:P$23,"Upcoming")</f>
        <v>1</v>
      </c>
      <c r="D23" s="46">
        <f t="shared" si="0"/>
        <v>1</v>
      </c>
    </row>
    <row r="24" spans="1:8" ht="19.5" customHeight="1" x14ac:dyDescent="0.25">
      <c r="A24" s="47" t="s">
        <v>64</v>
      </c>
      <c r="B24" s="48">
        <f>COUNTIFS(Opportunities!F$4:F$23,A24,Opportunities!P$4:P$23,"Open")</f>
        <v>0</v>
      </c>
      <c r="C24" s="48">
        <f>COUNTIFS(Opportunities!F$4:F$23,A24,Opportunities!P$4:P$23,"Upcoming")</f>
        <v>1</v>
      </c>
      <c r="D24" s="49">
        <f t="shared" si="0"/>
        <v>1</v>
      </c>
    </row>
    <row r="25" spans="1:8" ht="19.5" customHeight="1" x14ac:dyDescent="0.25">
      <c r="A25" s="44" t="s">
        <v>210</v>
      </c>
      <c r="B25" s="45">
        <f>COUNTIFS(Opportunities!F$4:F$23,A25,Opportunities!P$4:P$23,"Open")</f>
        <v>0</v>
      </c>
      <c r="C25" s="45">
        <f>COUNTIFS(Opportunities!F$4:F$23,A25,Opportunities!P$4:P$23,"Upcoming")</f>
        <v>1</v>
      </c>
      <c r="D25" s="46">
        <f t="shared" si="0"/>
        <v>1</v>
      </c>
    </row>
    <row r="26" spans="1:8" ht="19.5" customHeight="1" x14ac:dyDescent="0.25">
      <c r="A26" s="47" t="s">
        <v>223</v>
      </c>
      <c r="B26" s="48">
        <f>COUNTIFS(Opportunities!F$4:F$23,A26,Opportunities!P$4:P$23,"Open")</f>
        <v>1</v>
      </c>
      <c r="C26" s="48">
        <f>COUNTIFS(Opportunities!F$4:F$23,A26,Opportunities!P$4:P$23,"Upcoming")</f>
        <v>0</v>
      </c>
      <c r="D26" s="49">
        <f t="shared" si="0"/>
        <v>1</v>
      </c>
    </row>
  </sheetData>
  <mergeCells count="19">
    <mergeCell ref="A7:D7"/>
    <mergeCell ref="F7:J7"/>
    <mergeCell ref="I8:J8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1:J1"/>
    <mergeCell ref="A3:B3"/>
    <mergeCell ref="C3:D3"/>
    <mergeCell ref="E3:F3"/>
    <mergeCell ref="G3:H3"/>
    <mergeCell ref="I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showGridLines="0" zoomScaleNormal="100" workbookViewId="0"/>
  </sheetViews>
  <sheetFormatPr defaultColWidth="8.7109375" defaultRowHeight="15" x14ac:dyDescent="0.25"/>
  <cols>
    <col min="1" max="6" width="24" customWidth="1"/>
  </cols>
  <sheetData>
    <row r="1" spans="1:6" ht="31.5" customHeight="1" x14ac:dyDescent="0.25">
      <c r="A1" s="59" t="s">
        <v>417</v>
      </c>
      <c r="B1" s="59"/>
      <c r="C1" s="59"/>
      <c r="D1" s="59"/>
      <c r="E1" s="59"/>
      <c r="F1" s="59"/>
    </row>
    <row r="2" spans="1:6" x14ac:dyDescent="0.25">
      <c r="A2" s="15" t="s">
        <v>418</v>
      </c>
      <c r="B2" s="15" t="s">
        <v>419</v>
      </c>
      <c r="C2" s="15" t="s">
        <v>420</v>
      </c>
      <c r="D2" s="15" t="s">
        <v>421</v>
      </c>
      <c r="E2" s="15" t="s">
        <v>422</v>
      </c>
      <c r="F2" s="15" t="s">
        <v>423</v>
      </c>
    </row>
    <row r="3" spans="1:6" ht="18" customHeight="1" x14ac:dyDescent="0.25">
      <c r="A3" s="44" t="s">
        <v>424</v>
      </c>
      <c r="B3" s="44" t="s">
        <v>32</v>
      </c>
      <c r="C3" s="44" t="s">
        <v>30</v>
      </c>
      <c r="D3" s="44" t="s">
        <v>26</v>
      </c>
      <c r="E3" s="44" t="s">
        <v>31</v>
      </c>
      <c r="F3" s="44" t="s">
        <v>27</v>
      </c>
    </row>
    <row r="4" spans="1:6" ht="18" customHeight="1" x14ac:dyDescent="0.25">
      <c r="A4" s="47" t="s">
        <v>425</v>
      </c>
      <c r="B4" s="47" t="s">
        <v>116</v>
      </c>
      <c r="C4" s="47" t="s">
        <v>66</v>
      </c>
      <c r="D4" s="47" t="s">
        <v>50</v>
      </c>
      <c r="E4" s="47" t="s">
        <v>55</v>
      </c>
      <c r="F4" s="47" t="s">
        <v>41</v>
      </c>
    </row>
    <row r="5" spans="1:6" ht="18" customHeight="1" x14ac:dyDescent="0.25">
      <c r="A5" s="44" t="s">
        <v>426</v>
      </c>
      <c r="B5" s="44" t="s">
        <v>68</v>
      </c>
      <c r="C5" s="44" t="s">
        <v>79</v>
      </c>
      <c r="D5" s="44" t="s">
        <v>100</v>
      </c>
      <c r="E5" s="44" t="s">
        <v>91</v>
      </c>
      <c r="F5" s="44" t="s">
        <v>51</v>
      </c>
    </row>
    <row r="6" spans="1:6" ht="18" customHeight="1" x14ac:dyDescent="0.25">
      <c r="A6" s="47" t="s">
        <v>427</v>
      </c>
      <c r="B6" s="47" t="s">
        <v>264</v>
      </c>
      <c r="C6" s="47" t="s">
        <v>54</v>
      </c>
      <c r="D6" s="47" t="s">
        <v>63</v>
      </c>
      <c r="E6" s="47" t="s">
        <v>67</v>
      </c>
      <c r="F6" s="47" t="s">
        <v>77</v>
      </c>
    </row>
    <row r="7" spans="1:6" ht="18" customHeight="1" x14ac:dyDescent="0.25">
      <c r="A7" s="44" t="s">
        <v>428</v>
      </c>
      <c r="C7" s="44" t="s">
        <v>165</v>
      </c>
      <c r="D7" s="44" t="s">
        <v>125</v>
      </c>
      <c r="E7" s="44" t="s">
        <v>153</v>
      </c>
      <c r="F7" s="44" t="s">
        <v>88</v>
      </c>
    </row>
    <row r="8" spans="1:6" ht="18" customHeight="1" x14ac:dyDescent="0.25">
      <c r="A8" s="47" t="s">
        <v>429</v>
      </c>
      <c r="C8" s="47" t="s">
        <v>251</v>
      </c>
      <c r="D8" s="47" t="s">
        <v>247</v>
      </c>
      <c r="E8" s="47" t="s">
        <v>188</v>
      </c>
      <c r="F8" s="47" t="s">
        <v>162</v>
      </c>
    </row>
    <row r="9" spans="1:6" ht="18" customHeight="1" x14ac:dyDescent="0.25">
      <c r="A9" s="44" t="s">
        <v>430</v>
      </c>
      <c r="C9" s="44" t="s">
        <v>226</v>
      </c>
      <c r="D9" s="44" t="s">
        <v>137</v>
      </c>
      <c r="E9" s="44" t="s">
        <v>431</v>
      </c>
      <c r="F9" s="44" t="s">
        <v>150</v>
      </c>
    </row>
    <row r="10" spans="1:6" ht="18" customHeight="1" x14ac:dyDescent="0.25">
      <c r="A10" s="47" t="s">
        <v>432</v>
      </c>
      <c r="C10" s="47" t="s">
        <v>200</v>
      </c>
      <c r="D10" s="47" t="s">
        <v>209</v>
      </c>
      <c r="E10" s="47" t="s">
        <v>433</v>
      </c>
      <c r="F10" s="47" t="s">
        <v>184</v>
      </c>
    </row>
    <row r="11" spans="1:6" ht="18" customHeight="1" x14ac:dyDescent="0.25">
      <c r="A11" s="44" t="s">
        <v>434</v>
      </c>
      <c r="C11" s="44" t="s">
        <v>213</v>
      </c>
      <c r="D11" s="44" t="s">
        <v>260</v>
      </c>
      <c r="E11" s="44" t="s">
        <v>435</v>
      </c>
      <c r="F11" s="44" t="s">
        <v>236</v>
      </c>
    </row>
    <row r="12" spans="1:6" ht="18" customHeight="1" x14ac:dyDescent="0.25">
      <c r="A12" s="47" t="s">
        <v>436</v>
      </c>
      <c r="C12" s="47" t="s">
        <v>187</v>
      </c>
      <c r="D12" s="47" t="s">
        <v>196</v>
      </c>
      <c r="F12" s="47" t="s">
        <v>126</v>
      </c>
    </row>
    <row r="13" spans="1:6" ht="18" customHeight="1" x14ac:dyDescent="0.25">
      <c r="A13" s="44" t="s">
        <v>437</v>
      </c>
      <c r="C13" s="44" t="s">
        <v>438</v>
      </c>
      <c r="F13" s="44" t="s">
        <v>174</v>
      </c>
    </row>
    <row r="14" spans="1:6" ht="18" customHeight="1" x14ac:dyDescent="0.25">
      <c r="A14" s="47" t="s">
        <v>439</v>
      </c>
      <c r="F14" s="47" t="s">
        <v>113</v>
      </c>
    </row>
    <row r="15" spans="1:6" ht="18" customHeight="1" x14ac:dyDescent="0.25">
      <c r="A15" s="44" t="s">
        <v>440</v>
      </c>
      <c r="F15" s="44" t="s">
        <v>101</v>
      </c>
    </row>
    <row r="16" spans="1:6" ht="18" customHeight="1" x14ac:dyDescent="0.25">
      <c r="A16" s="47" t="s">
        <v>441</v>
      </c>
      <c r="F16" s="47" t="s">
        <v>261</v>
      </c>
    </row>
    <row r="17" spans="1:6" ht="18" customHeight="1" x14ac:dyDescent="0.25">
      <c r="A17" s="44" t="s">
        <v>442</v>
      </c>
      <c r="F17" s="44" t="s">
        <v>248</v>
      </c>
    </row>
    <row r="18" spans="1:6" ht="18" customHeight="1" x14ac:dyDescent="0.25">
      <c r="A18" s="47" t="s">
        <v>443</v>
      </c>
      <c r="F18" s="47" t="s">
        <v>210</v>
      </c>
    </row>
    <row r="19" spans="1:6" ht="18" customHeight="1" x14ac:dyDescent="0.25">
      <c r="A19" s="44" t="s">
        <v>444</v>
      </c>
      <c r="F19" s="44" t="s">
        <v>223</v>
      </c>
    </row>
    <row r="20" spans="1:6" ht="18" customHeight="1" x14ac:dyDescent="0.25">
      <c r="A20" s="47" t="s">
        <v>445</v>
      </c>
      <c r="F20" s="47" t="s">
        <v>446</v>
      </c>
    </row>
    <row r="21" spans="1:6" ht="18" customHeight="1" x14ac:dyDescent="0.25">
      <c r="A21" s="44" t="s">
        <v>447</v>
      </c>
    </row>
    <row r="22" spans="1:6" ht="18" customHeight="1" x14ac:dyDescent="0.25">
      <c r="A22" s="47" t="s">
        <v>448</v>
      </c>
    </row>
    <row r="23" spans="1:6" ht="18" customHeight="1" x14ac:dyDescent="0.25">
      <c r="A23" s="44" t="s">
        <v>449</v>
      </c>
    </row>
    <row r="24" spans="1:6" ht="18" customHeight="1" x14ac:dyDescent="0.25">
      <c r="A24" s="47" t="s">
        <v>450</v>
      </c>
    </row>
    <row r="25" spans="1:6" ht="18" customHeight="1" x14ac:dyDescent="0.25">
      <c r="A25" s="44" t="s">
        <v>451</v>
      </c>
    </row>
    <row r="26" spans="1:6" ht="18" customHeight="1" x14ac:dyDescent="0.25">
      <c r="A26" s="47" t="s">
        <v>452</v>
      </c>
    </row>
    <row r="27" spans="1:6" ht="18" customHeight="1" x14ac:dyDescent="0.25">
      <c r="A27" s="44" t="s">
        <v>453</v>
      </c>
    </row>
    <row r="28" spans="1:6" ht="18" customHeight="1" x14ac:dyDescent="0.25">
      <c r="A28" s="47" t="s">
        <v>454</v>
      </c>
    </row>
    <row r="29" spans="1:6" ht="18" customHeight="1" x14ac:dyDescent="0.25">
      <c r="A29" s="44" t="s">
        <v>455</v>
      </c>
    </row>
    <row r="30" spans="1:6" ht="18" customHeight="1" x14ac:dyDescent="0.25">
      <c r="A30" s="47" t="s">
        <v>456</v>
      </c>
    </row>
    <row r="31" spans="1:6" ht="18" customHeight="1" x14ac:dyDescent="0.25">
      <c r="A31" s="44" t="s">
        <v>457</v>
      </c>
    </row>
    <row r="32" spans="1:6" ht="18" customHeight="1" x14ac:dyDescent="0.25">
      <c r="A32" s="47" t="s">
        <v>458</v>
      </c>
    </row>
    <row r="33" spans="1:1" ht="18" customHeight="1" x14ac:dyDescent="0.25">
      <c r="A33" s="44" t="s">
        <v>459</v>
      </c>
    </row>
    <row r="34" spans="1:1" ht="18" customHeight="1" x14ac:dyDescent="0.25">
      <c r="A34" s="47" t="s">
        <v>460</v>
      </c>
    </row>
    <row r="35" spans="1:1" ht="18" customHeight="1" x14ac:dyDescent="0.25">
      <c r="A35" s="44" t="s">
        <v>461</v>
      </c>
    </row>
    <row r="36" spans="1:1" ht="18" customHeight="1" x14ac:dyDescent="0.25">
      <c r="A36" s="47" t="s">
        <v>462</v>
      </c>
    </row>
    <row r="37" spans="1:1" ht="18" customHeight="1" x14ac:dyDescent="0.25">
      <c r="A37" s="44" t="s">
        <v>463</v>
      </c>
    </row>
    <row r="38" spans="1:1" ht="18" customHeight="1" x14ac:dyDescent="0.25">
      <c r="A38" s="47" t="s">
        <v>464</v>
      </c>
    </row>
    <row r="39" spans="1:1" ht="18" customHeight="1" x14ac:dyDescent="0.25">
      <c r="A39" s="44" t="s">
        <v>465</v>
      </c>
    </row>
    <row r="40" spans="1:1" ht="18" customHeight="1" x14ac:dyDescent="0.25">
      <c r="A40" s="47" t="s">
        <v>466</v>
      </c>
    </row>
    <row r="41" spans="1:1" ht="18" customHeight="1" x14ac:dyDescent="0.25">
      <c r="A41" s="44" t="s">
        <v>467</v>
      </c>
    </row>
    <row r="42" spans="1:1" ht="18" customHeight="1" x14ac:dyDescent="0.25">
      <c r="A42" s="47" t="s">
        <v>468</v>
      </c>
    </row>
    <row r="43" spans="1:1" ht="18" customHeight="1" x14ac:dyDescent="0.25">
      <c r="A43" s="44" t="s">
        <v>469</v>
      </c>
    </row>
    <row r="44" spans="1:1" ht="18" customHeight="1" x14ac:dyDescent="0.25">
      <c r="A44" s="47" t="s">
        <v>470</v>
      </c>
    </row>
    <row r="45" spans="1:1" ht="18" customHeight="1" x14ac:dyDescent="0.25">
      <c r="A45" s="44" t="s">
        <v>471</v>
      </c>
    </row>
    <row r="46" spans="1:1" ht="18" customHeight="1" x14ac:dyDescent="0.25">
      <c r="A46" s="47" t="s">
        <v>472</v>
      </c>
    </row>
    <row r="47" spans="1:1" ht="18" customHeight="1" x14ac:dyDescent="0.25">
      <c r="A47" s="44" t="s">
        <v>473</v>
      </c>
    </row>
    <row r="48" spans="1:1" ht="18" customHeight="1" x14ac:dyDescent="0.25">
      <c r="A48" s="47" t="s">
        <v>474</v>
      </c>
    </row>
    <row r="49" spans="1:1" ht="18" customHeight="1" x14ac:dyDescent="0.25">
      <c r="A49" s="44" t="s">
        <v>475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Opportunities</vt:lpstr>
      <vt:lpstr>API Schema</vt:lpstr>
      <vt:lpstr>Dashboard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 ELITE</cp:lastModifiedBy>
  <cp:revision>0</cp:revision>
  <dcterms:created xsi:type="dcterms:W3CDTF">2026-04-17T10:44:21Z</dcterms:created>
  <dcterms:modified xsi:type="dcterms:W3CDTF">2026-04-17T12:28:42Z</dcterms:modified>
  <dc:language>en-US</dc:language>
</cp:coreProperties>
</file>