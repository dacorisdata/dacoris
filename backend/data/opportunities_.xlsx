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coris\backend\data\"/>
    </mc:Choice>
  </mc:AlternateContent>
  <xr:revisionPtr revIDLastSave="0" documentId="8_{CB7513A5-8B84-420E-9716-5D13180B97C4}" xr6:coauthVersionLast="47" xr6:coauthVersionMax="47" xr10:uidLastSave="{00000000-0000-0000-0000-000000000000}"/>
  <bookViews>
    <workbookView xWindow="-120" yWindow="-120" windowWidth="29040" windowHeight="15720" xr2:uid="{13A6E138-A984-427E-A3A8-58B4AD85D403}"/>
  </bookViews>
  <sheets>
    <sheet name="name-of-organization-issued-by-" sheetId="1" r:id="rId1"/>
  </sheets>
  <calcPr calcId="191029" iterateDelta="1E-4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3" i="1"/>
</calcChain>
</file>

<file path=xl/sharedStrings.xml><?xml version="1.0" encoding="utf-8"?>
<sst xmlns="http://schemas.openxmlformats.org/spreadsheetml/2006/main" count="326" uniqueCount="296">
  <si>
    <t>Issued by</t>
  </si>
  <si>
    <t>Deadline of Application</t>
  </si>
  <si>
    <t>Value</t>
  </si>
  <si>
    <t>Application Link</t>
  </si>
  <si>
    <t>Gates Foundation</t>
  </si>
  <si>
    <t>Not specified</t>
  </si>
  <si>
    <t>NGO Support</t>
  </si>
  <si>
    <t>Oneness Revival Team</t>
  </si>
  <si>
    <t>20 December 2026</t>
  </si>
  <si>
    <t>Locally‑Led Development Initiatives</t>
  </si>
  <si>
    <t>Dana Foundation</t>
  </si>
  <si>
    <t>31 December 2026</t>
  </si>
  <si>
    <t>Up to €150 000 per organisation</t>
  </si>
  <si>
    <t>Pandemic Prevention, Preparedness and Response</t>
  </si>
  <si>
    <t>The Pandemic Fund</t>
  </si>
  <si>
    <t>Applications reviewed on a rolling basis until 31 March 2027</t>
  </si>
  <si>
    <t>US$244 million</t>
  </si>
  <si>
    <t>AFNet Flexible Grant</t>
  </si>
  <si>
    <t>African Women for Change Network (AFNet)</t>
  </si>
  <si>
    <t>Applications reviewed on a rolling basis</t>
  </si>
  <si>
    <t>US$5 000</t>
  </si>
  <si>
    <t>BenueAID Community Development Initiative Discretionary Grants</t>
  </si>
  <si>
    <t>BenueAID</t>
  </si>
  <si>
    <t>Early‑Stage Social Enterprises</t>
  </si>
  <si>
    <t>Draper Richards Kaplan Foundation</t>
  </si>
  <si>
    <t>Up to US$300 000</t>
  </si>
  <si>
    <t>Education Access, Environmental Sustainability and Secure Livelihoods</t>
  </si>
  <si>
    <t>Avery Dennison Foundation</t>
  </si>
  <si>
    <t>US$50 000–100 000</t>
  </si>
  <si>
    <t>Fostering Community Philanthropy</t>
  </si>
  <si>
    <t>Global Fund for Community Foundations</t>
  </si>
  <si>
    <t>US$7 000–20 000</t>
  </si>
  <si>
    <t>Friends of Liberia Small Grants Programme</t>
  </si>
  <si>
    <t>Friends of Liberia</t>
  </si>
  <si>
    <t>US$3 000</t>
  </si>
  <si>
    <t>Global Poverty and Inequality</t>
  </si>
  <si>
    <t>Fund for Innovation in Development</t>
  </si>
  <si>
    <t>€50 000–4 million</t>
  </si>
  <si>
    <t>Innovative Development Solutions</t>
  </si>
  <si>
    <t>Development Innovation Ventures (DIV) Fund</t>
  </si>
  <si>
    <t>Up to US$1 500 000</t>
  </si>
  <si>
    <t>Rapid Response Fund</t>
  </si>
  <si>
    <t>Frontline AIDS</t>
  </si>
  <si>
    <t>Up to US$15 000</t>
  </si>
  <si>
    <t>Rapid Response Grants</t>
  </si>
  <si>
    <t>Urgent Action Fund Africa</t>
  </si>
  <si>
    <t>Rapid Response Window</t>
  </si>
  <si>
    <t>United Nations Women’s Peace &amp; Humanitarian Fund</t>
  </si>
  <si>
    <t>Direct support (up to US$30 000) &amp; short‑term grants (up to US$100 000)</t>
  </si>
  <si>
    <t>Rufford Small Grants</t>
  </si>
  <si>
    <t>Rufford Foundation</t>
  </si>
  <si>
    <t>£7 000–18 000</t>
  </si>
  <si>
    <t>SIPRA Challenge Fund – Large Grant Facility</t>
  </si>
  <si>
    <t>Meta</t>
  </si>
  <si>
    <t>€20 000–100 000</t>
  </si>
  <si>
    <t>Strategic Opportunities Fund</t>
  </si>
  <si>
    <t>ActionAid Nigeria</t>
  </si>
  <si>
    <t>Water, Education and Healthcare</t>
  </si>
  <si>
    <t>AJA Foundation</t>
  </si>
  <si>
    <t>Various</t>
  </si>
  <si>
    <t>US$25 000 to 50 000 (SEED grant) and US$25 000 to 50 000 (THRIVE grant)</t>
  </si>
  <si>
    <t>https://tinyurl.com/4c6nnm75</t>
  </si>
  <si>
    <t>https://tinyurl.com/bdhnuzte</t>
  </si>
  <si>
    <t>https://tinyurl.com/yr9hhy5b</t>
  </si>
  <si>
    <t>https://tinyurl.com/hpn4bur3</t>
  </si>
  <si>
    <t>https://tinyurl.com/mr2ymjjz</t>
  </si>
  <si>
    <t>https://tinyurl.com/bdbncswh</t>
  </si>
  <si>
    <t>https://tinyurl.com/44j9jz8d</t>
  </si>
  <si>
    <t>https://tinyurl.com/73ubmun7</t>
  </si>
  <si>
    <t>https://tinyurl.com/uu7f24ee</t>
  </si>
  <si>
    <t>https://tinyurl.com/4by6jwr2</t>
  </si>
  <si>
    <t>https://tinyurl.com/yc7k26wy</t>
  </si>
  <si>
    <t>https://tinyurl.com/49cy49pa</t>
  </si>
  <si>
    <t>https://tinyurl.com/4wktp2uw</t>
  </si>
  <si>
    <t>https://wphfund.org/rrw-short-term-grants</t>
  </si>
  <si>
    <t>https://tinyurl.com/bdjm2hwv</t>
  </si>
  <si>
    <t>https://tinyurl.com/y8d4px9f</t>
  </si>
  <si>
    <t>Emergency Intervention Fund – NGN 10 million per grant for up to 12 grants per year, Critical Intervention Fund – NGN6 million per grant for up to 13 grants per year, and Women Human Rights Defenders Intervention Fund – NGN 17,7 million per grant for up to 4 grants per year</t>
  </si>
  <si>
    <t>https://tinyurl.com/y2yyf7ms</t>
  </si>
  <si>
    <t>https://tinyurl.com/5747pbdb</t>
  </si>
  <si>
    <t>Alpha Eta Collaborative Research Grant</t>
  </si>
  <si>
    <t>Sigma</t>
  </si>
  <si>
    <t>https://sigmanursing.submittable.com/submit</t>
  </si>
  <si>
    <t>1 December 2026 11:59pm US EST</t>
  </si>
  <si>
    <t>up to $2,000</t>
  </si>
  <si>
    <t>Global Health</t>
  </si>
  <si>
    <t>International Development Research Centre (IDRC), Global Affairs Canada (GAC), and the Canadian Institutes of Health Research (CIHR)</t>
  </si>
  <si>
    <t>Sunday, August 23, 2026 - 23:59 ET</t>
  </si>
  <si>
    <r>
      <t xml:space="preserve">Up to six grants of up to CAD 1.2 million each. </t>
    </r>
    <r>
      <rPr>
        <i/>
        <sz val="11"/>
        <color theme="1"/>
        <rFont val="Calibri"/>
        <family val="2"/>
        <scheme val="minor"/>
      </rPr>
      <t>Up to 12 applicants will be invited to submit a Full Proposal.</t>
    </r>
  </si>
  <si>
    <t>https://idrc-crdi.ca/sites/default/files/2026-06/ANeSA%20-%20Cohort%202%20Call%20for%20LoIs%20-%20Stream%202-New%20Grants-EN-2026%20Jun%2025-POSTED.pdf</t>
  </si>
  <si>
    <t>Science Granting Councils Initiative in Sub-Saharan Africa (SGCI)</t>
  </si>
  <si>
    <t>International Development Research Centre’s (IDRC)</t>
  </si>
  <si>
    <t>Friday, September 25, 2026 - 23:59 ET</t>
  </si>
  <si>
    <t>Ranging from CAD50,000 to CAD300,000 per consortium member</t>
  </si>
  <si>
    <t>https://idrc-crdi.smapply.io/prog/297124/apply/?next=/prog/supporting_stisa_2034_sgci_multilateral_research_call_advancing_africas_science_technology_and_innovation_priorities/</t>
  </si>
  <si>
    <t>The World Academy of Sciences</t>
  </si>
  <si>
    <t>Over USD 25,000</t>
  </si>
  <si>
    <t>https://onlineforms.twas.org/apply/301</t>
  </si>
  <si>
    <t>American Association for Cancer Research</t>
  </si>
  <si>
    <t>September 8, 2026 6:00 PM (UTC)</t>
  </si>
  <si>
    <t>$60,000 USD</t>
  </si>
  <si>
    <t>AACR Foundation</t>
  </si>
  <si>
    <t>https://proposalcentral.com/</t>
  </si>
  <si>
    <t>Africa Prize for Engineering Innovation</t>
  </si>
  <si>
    <t>Royal Academy of Engineering</t>
  </si>
  <si>
    <t>up to £50,000</t>
  </si>
  <si>
    <t>https://www.scientifyresearch.org/membership-account/membership-checkout/?level=1</t>
  </si>
  <si>
    <t>Kungliga Fysiografiska Sällskapet i Lund</t>
  </si>
  <si>
    <t xml:space="preserve"> Travel grants for junior researchers</t>
  </si>
  <si>
    <t>Up to 25,000 SEK</t>
  </si>
  <si>
    <t>October 29, 2026</t>
  </si>
  <si>
    <t>https://app.fundpro.se/calls/2524?lang=en</t>
  </si>
  <si>
    <t>The British Council 2026 Cultural Protection Fund (CPF)</t>
  </si>
  <si>
    <t>https://culturalprotectionfund.grantplatform.com/</t>
  </si>
  <si>
    <t>Opportunities For Africans (OFA)</t>
  </si>
  <si>
    <t xml:space="preserve">seven awards for projects with grant values between £100,000 and £500,000; and  
20 awards to projects with grant values under £100,000. </t>
  </si>
  <si>
    <t xml:space="preserve">Friday 28 August 2026, 23:59 BST. </t>
  </si>
  <si>
    <t>Grant Program</t>
  </si>
  <si>
    <t>Common Good Cyber Fund Grant Program</t>
  </si>
  <si>
    <t>up to $300,000 over the full grant period.</t>
  </si>
  <si>
    <t>4 August 2026 at 21:00 UTC</t>
  </si>
  <si>
    <t>https://isocfoundation.fluxx.io/user_sessions/new</t>
  </si>
  <si>
    <t>June 29, 2026 – 23:59 Central European Time.</t>
  </si>
  <si>
    <t>10.000,00 euros</t>
  </si>
  <si>
    <t>https://buro.beezsocialerp.com/auth/sign-up</t>
  </si>
  <si>
    <t>Enel Foundation</t>
  </si>
  <si>
    <t>wAtt-boost Call</t>
  </si>
  <si>
    <t>International Fund for Agricultural Development (IFAD)</t>
  </si>
  <si>
    <t>Rural Sector Performance Assessment for Policy and Investment</t>
  </si>
  <si>
    <t>4 September 2026, 12:00 (CET)</t>
  </si>
  <si>
    <t>up to US$1.2 million.</t>
  </si>
  <si>
    <t>https://www.ifad.org/en/w/calls-for-proposal/call-for-proposals-ifad-grant-to-implement-the-initiative-leveraging-ifad-s-rural-sector-performance-assessment-for-policy-and-investment-</t>
  </si>
  <si>
    <t>International Fund for Agricultural Development — Rural Sector Performance Assessment for Policy and Investment</t>
  </si>
  <si>
    <t>US$1.2 million</t>
  </si>
  <si>
    <t>Stiftung Artenschutz — Amphibian Conservation Fund</t>
  </si>
  <si>
    <t xml:space="preserve">31th of July 2026, 23:59 CET ‎(UTC+2) </t>
  </si>
  <si>
    <t>European Commission — Blue Bio-Based Products</t>
  </si>
  <si>
    <t>€10 million</t>
  </si>
  <si>
    <t>https://webgate.ec.europa.eu/funding-tenders-opportunities/display/OM/Online+Manual</t>
  </si>
  <si>
    <t>European Commission — Algae and Marine Microorganisms in Food Systems</t>
  </si>
  <si>
    <t>€9 million</t>
  </si>
  <si>
    <t>Velux Stiftung — Sustainable and Integrative Forest Management</t>
  </si>
  <si>
    <t>€100 thousand to €500 thousand for a project period of up to three years</t>
  </si>
  <si>
    <t>https://veluxstiftung.ch/applications/</t>
  </si>
  <si>
    <t>US$10 thousand</t>
  </si>
  <si>
    <t>US$30 thousand</t>
  </si>
  <si>
    <t>TREE Fund — Building Bridges Initiative</t>
  </si>
  <si>
    <t>https://www.grantinterface.com/Home/Logon?urlkey=treefund</t>
  </si>
  <si>
    <t>Safe Arborist Techniques Fund (SATF)</t>
  </si>
  <si>
    <t>US$15 thousand</t>
  </si>
  <si>
    <t>Jack Kimmel International Grant Program</t>
  </si>
  <si>
    <t>max of US$10 thousand</t>
  </si>
  <si>
    <t>John Z. Duling Grant Program</t>
  </si>
  <si>
    <t>up to US$25 thousand</t>
  </si>
  <si>
    <t>Tiny Beam Fund — Negative Impacts of Global Industrial Animal Agriculture</t>
  </si>
  <si>
    <t>over $50,000 (exceptional case)</t>
  </si>
  <si>
    <t>https://tinybeamfund.org/files/galleries/2026_Kindling_Initiative_Grants_Concept_note_instructions.pdf</t>
  </si>
  <si>
    <t>N/A</t>
  </si>
  <si>
    <t>Thrive Philanthropy — Alternatives to Industrial Animal Agriculture</t>
  </si>
  <si>
    <t xml:space="preserve"> 01 June, 01 September, and 01 December each year.</t>
  </si>
  <si>
    <t>from US$10 thousand to US$30 thousand</t>
  </si>
  <si>
    <t>https://thrive.smapply.io/</t>
  </si>
  <si>
    <t>The New York Climate Exchange — Climate Tech Fellowship</t>
  </si>
  <si>
    <t>https://airtable.com/appdCqc8Acukxt3eB/pagt6K2geSkkpYnV0/form</t>
  </si>
  <si>
    <t>European Commission — Alleviating Household Energy Poverty in Europe</t>
  </si>
  <si>
    <t>over €1 million</t>
  </si>
  <si>
    <t>Catalyst Fund — Climate Resilience Africa</t>
  </si>
  <si>
    <t>https://www.thecatalystfund.com/apply</t>
  </si>
  <si>
    <t>Not Listed</t>
  </si>
  <si>
    <t>US$150 thousand in investment and An additional US$50 thousand worth of tailored venture-building assistance</t>
  </si>
  <si>
    <t>Munich Re Foundation — RISK Award “Climate Resilience”</t>
  </si>
  <si>
    <t>up to €100 thousand</t>
  </si>
  <si>
    <t>https://eu.eventscloud.com/eSites/2027-risk-award/Homepage</t>
  </si>
  <si>
    <t>Advanced Research and Invention Agency — Climate and Weather</t>
  </si>
  <si>
    <t>£500 thousand</t>
  </si>
  <si>
    <t>https://aria.grantplatform.com/</t>
  </si>
  <si>
    <t>Caribbean Catastrophe Risk Insurance Facility — Small Grants Program</t>
  </si>
  <si>
    <t>US$5 to US$25 thousand</t>
  </si>
  <si>
    <t>https://www.ccrif.org/sites/default/files/smallgrants/Application_Form_CCRIFSmallGrantsProgramme.doc</t>
  </si>
  <si>
    <t>Allianz Global Investors — Illustration Competition</t>
  </si>
  <si>
    <t>€2,000 to €150</t>
  </si>
  <si>
    <t>https://www.artonclimate.com/</t>
  </si>
  <si>
    <t>US$5 thousand</t>
  </si>
  <si>
    <t>Joseph Rowntree Charitable Trust — Sustainable Future Grant</t>
  </si>
  <si>
    <t>https://www.jrct.org.uk/sf-apply</t>
  </si>
  <si>
    <t>Global Environment Facility Small Grants Program (GEF SGP)</t>
  </si>
  <si>
    <t>up to US$300000</t>
  </si>
  <si>
    <t>https://csochallenge.org/#apply</t>
  </si>
  <si>
    <t>Lipman Family Prize — Funding for Social Change</t>
  </si>
  <si>
    <t>US$250 thousand for the winning organization, 
US$125 thousand for each of the two other honorees.</t>
  </si>
  <si>
    <t>http://bit.ly/LipmanApplication2027</t>
  </si>
  <si>
    <t>Purpose Earth — Grants and Mentorship</t>
  </si>
  <si>
    <t>https://forms.gle/G96FJsZw8hN5mPr5A</t>
  </si>
  <si>
    <t>International Development Research Centre — Multilateral Research Call</t>
  </si>
  <si>
    <t>CA$50 thousand to CA$300 thousand</t>
  </si>
  <si>
    <t>https://idrc-crdi.smapply.io/prog/supporting_stisa_2034_sgci_multilateral_research_call_advancing_africas_science_technology_and_innovation_priorities/</t>
  </si>
  <si>
    <t>Prototypes for Humanity — Global Innovation Awards for University Projects</t>
  </si>
  <si>
    <t>US$100 thousand</t>
  </si>
  <si>
    <t>https://www.prototypesforhumanity.com/latestnews/stories/how-to-apply</t>
  </si>
  <si>
    <t>iF International Forum Design GmbH — Social Impact Prize</t>
  </si>
  <si>
    <t>€100 thousand</t>
  </si>
  <si>
    <t>https://myif.ifdesign.com/login</t>
  </si>
  <si>
    <t>British Academy — International Interdisciplinary Research 2027</t>
  </si>
  <si>
    <t>£300 thousand</t>
  </si>
  <si>
    <t>https://britishacademy.flexigrant.com/</t>
  </si>
  <si>
    <t>Worldwide Universities Network — Research Development Fund</t>
  </si>
  <si>
    <t>15 October 2026 at 21.00 UK time</t>
  </si>
  <si>
    <t>£10 thousand</t>
  </si>
  <si>
    <t>https://www.grantinterface.com/Home/Logon?urlkey=wun</t>
  </si>
  <si>
    <t>Schmidt Marine Technology Partners — Ocean Innovation Funding Program</t>
  </si>
  <si>
    <t>between US$100 thousand and US$400 thousand</t>
  </si>
  <si>
    <t>https://airtable.com/appAz0pWLtt9SwFl1/paghIRHWLBhEQPDw6/form</t>
  </si>
  <si>
    <t>Geneva Centre for Security Policy — Prize for Innovation in Global Security</t>
  </si>
  <si>
    <t>CHF 10,000</t>
  </si>
  <si>
    <t>https://www.cognitoforms.com/GenevaCentreForSecurityPolicy/_2026GCSPPrizeForInnovationInGlobalSecurity</t>
  </si>
  <si>
    <t>Documents relating to the FY2027 application process will be available once the application period starts. (August 18th)</t>
  </si>
  <si>
    <t>Japan Science and Technology Agency — Research Partnership 2027</t>
  </si>
  <si>
    <t>¥ 100 million per project per year</t>
  </si>
  <si>
    <t>https://aps.onlineapplicationportal.com/awardee/</t>
  </si>
  <si>
    <t>American Philosophical Society — Fund for Exploration and Field Research</t>
  </si>
  <si>
    <t>UNESCO — Prize for Young Scientists</t>
  </si>
  <si>
    <t>US$50 thousand</t>
  </si>
  <si>
    <t>https://apply.unescoalfozanprize.org/login</t>
  </si>
  <si>
    <t>Waitt Foundation — Small Grants for Marine Protected Areas and Fisheries</t>
  </si>
  <si>
    <t>all year</t>
  </si>
  <si>
    <t>up to US$15 thousand</t>
  </si>
  <si>
    <t>https://bbgm-apply.yourcausegrants.com/apply/programs/09fe478b-e087-4fda-a13f-c664d96b004e</t>
  </si>
  <si>
    <t>Canon Foundation — Japan-Africa Exchange Fellowship</t>
  </si>
  <si>
    <t>€22,500 to €27,500 per year</t>
  </si>
  <si>
    <t>https://portal.canonfoundation.org/</t>
  </si>
  <si>
    <t>Conservation, Food and Health Foundation — Local Project Support</t>
  </si>
  <si>
    <t>US$25 thousand to US$50 thousand per year range</t>
  </si>
  <si>
    <t>https://cfhfoundation.grantsmanagement08.com/?page_id=6</t>
  </si>
  <si>
    <t>https://www.rgs.org/media/3baak3gr/rgsibg-grant-application-lastname.docx</t>
  </si>
  <si>
    <t>Royal Geographical Society — Expedition Grants</t>
  </si>
  <si>
    <t>£2,000 and £5,000</t>
  </si>
  <si>
    <t>Jephcott Charitable Trust — Program in Natural Environment</t>
  </si>
  <si>
    <t>No application deadline</t>
  </si>
  <si>
    <t>exceptional cases only, up to £20000</t>
  </si>
  <si>
    <t>https://www.dropbox.com/scl/fi/scr1iuf3p4vke7mr4ojip/JCT-Application-Form_Nov-2022.doc?rlkey=fhhx4ydj3rf2bg5oh1hvw3jfy&amp;e=1&amp;dl=0</t>
  </si>
  <si>
    <t>https://charleshaywardfoundation.org.uk/grants/overseas/</t>
  </si>
  <si>
    <t>up to £15,000</t>
  </si>
  <si>
    <t>Charles Hayward Foundation — Livelihoods Support in Africa</t>
  </si>
  <si>
    <t>SENSE Foundation Brussels — Health and Sustainability Project Grants</t>
  </si>
  <si>
    <t>https://form.jotform.com/260213959355360</t>
  </si>
  <si>
    <t>up to €25,000</t>
  </si>
  <si>
    <t>https://nominateenvironment-prize.com/</t>
  </si>
  <si>
    <t>Volvo Environment Prize — Nominations 2027</t>
  </si>
  <si>
    <t>SEK 1.5 million</t>
  </si>
  <si>
    <t>King Baudouin Foundation — Ernest Solvay Fund</t>
  </si>
  <si>
    <t>up to €10 thousand</t>
  </si>
  <si>
    <t>https://candidate.kbs-frb.be/en</t>
  </si>
  <si>
    <t>https://form.jotform.com/260881520405351</t>
  </si>
  <si>
    <t>Scientific Committee on Antarctic Research — Visiting Scholar</t>
  </si>
  <si>
    <t>NDN Collective — Community Self-Determination</t>
  </si>
  <si>
    <t>US$20,000</t>
  </si>
  <si>
    <t>https://ndncollective.fluxx.io/apply/caf</t>
  </si>
  <si>
    <t>Lipman Family</t>
  </si>
  <si>
    <t>Purpose Earth</t>
  </si>
  <si>
    <t>International Development Research Centre</t>
  </si>
  <si>
    <t>Prototypes for Humanity</t>
  </si>
  <si>
    <t>iF International Forum Design GmbH</t>
  </si>
  <si>
    <t>British Academy</t>
  </si>
  <si>
    <t>Worldwide Universities Network</t>
  </si>
  <si>
    <t xml:space="preserve">The New York Climate Exchange </t>
  </si>
  <si>
    <t xml:space="preserve">European Commission </t>
  </si>
  <si>
    <t>Munich Re Foundation</t>
  </si>
  <si>
    <t xml:space="preserve">Advanced Research and Invention Agency </t>
  </si>
  <si>
    <t>Allianz Global Investors</t>
  </si>
  <si>
    <t xml:space="preserve">Schmidt Marine Technology Partners </t>
  </si>
  <si>
    <t xml:space="preserve">Geneva Centre for Security Policy </t>
  </si>
  <si>
    <t>Japan Science and Technology Agency</t>
  </si>
  <si>
    <t xml:space="preserve">American Philosophical Society </t>
  </si>
  <si>
    <t>UNESCO</t>
  </si>
  <si>
    <t>Waitt Foundation</t>
  </si>
  <si>
    <t>Canon Foundation</t>
  </si>
  <si>
    <t xml:space="preserve">Conservation, Food and Health Foundation </t>
  </si>
  <si>
    <t>Royal Geographical Society</t>
  </si>
  <si>
    <t>Jephcott Charitable Trust</t>
  </si>
  <si>
    <t>Charles Hayward Foundation</t>
  </si>
  <si>
    <t>SENSE Foundation Brussels</t>
  </si>
  <si>
    <t>Volvo Environment Prize</t>
  </si>
  <si>
    <t>King Baudouin Foundation</t>
  </si>
  <si>
    <t xml:space="preserve">Scientific Committee on Antarctic Research </t>
  </si>
  <si>
    <t>NDN Collective</t>
  </si>
  <si>
    <t>International Fund for Agricultural Development</t>
  </si>
  <si>
    <t>Stiftung Artenschutz</t>
  </si>
  <si>
    <t>European Commission</t>
  </si>
  <si>
    <t>Velux Stiftung</t>
  </si>
  <si>
    <t>TREE Fund</t>
  </si>
  <si>
    <t>Tiny Beam Fund</t>
  </si>
  <si>
    <t>Thrive Philanthropy</t>
  </si>
  <si>
    <t xml:space="preserve">Caribbean Catastrophe Risk Insurance Facility </t>
  </si>
  <si>
    <t xml:space="preserve">Joseph Rowntree Charitable Trust </t>
  </si>
  <si>
    <t>Opportunities</t>
  </si>
  <si>
    <t>OPPORTUNITY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</si>
</sst>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/mm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42" applyAlignment="1">
      <alignment wrapText="1"/>
    </xf>
    <xf numFmtId="164" fontId="18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0" fillId="33" borderId="0" xfId="0" applyFill="1" applyAlignment="1">
      <alignment wrapText="1"/>
    </xf>
    <xf numFmtId="164" fontId="0" fillId="33" borderId="0" xfId="0" applyNumberFormat="1" applyFill="1" applyAlignment="1">
      <alignment horizontal="left" wrapText="1"/>
    </xf>
    <xf numFmtId="0" fontId="19" fillId="33" borderId="0" xfId="42" applyFill="1" applyAlignment="1">
      <alignment wrapText="1"/>
    </xf>
    <xf numFmtId="0" fontId="0" fillId="33" borderId="0" xfId="0" applyFill="1"/>
    <xf numFmtId="15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0" fontId="0" fillId="34" borderId="0" xfId="0" applyFill="1" applyAlignment="1">
      <alignment wrapText="1"/>
    </xf>
    <xf numFmtId="15" fontId="0" fillId="34" borderId="0" xfId="0" applyNumberFormat="1" applyFill="1" applyAlignment="1">
      <alignment wrapText="1"/>
    </xf>
    <xf numFmtId="0" fontId="19" fillId="34" borderId="0" xfId="42" applyFill="1" applyAlignment="1">
      <alignment wrapText="1"/>
    </xf>
    <xf numFmtId="15" fontId="0" fillId="0" borderId="0" xfId="0" applyNumberForma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inyurl.com/49cy49pa" TargetMode="External"/><Relationship Id="rId18" Type="http://schemas.openxmlformats.org/officeDocument/2006/relationships/hyperlink" Target="https://tinyurl.com/5747pbdb" TargetMode="External"/><Relationship Id="rId26" Type="http://schemas.openxmlformats.org/officeDocument/2006/relationships/hyperlink" Target="https://culturalprotectionfund.grantplatform.com/" TargetMode="External"/><Relationship Id="rId39" Type="http://schemas.openxmlformats.org/officeDocument/2006/relationships/hyperlink" Target="https://www.cognitoforms.com/GenevaCentreForSecurityPolicy/_2026GCSPPrizeForInnovationInGlobalSecurity" TargetMode="External"/><Relationship Id="rId21" Type="http://schemas.openxmlformats.org/officeDocument/2006/relationships/hyperlink" Target="https://idrc-crdi.smapply.io/prog/297124/apply/?next=/prog/supporting_stisa_2034_sgci_multilateral_research_call_advancing_africas_science_technology_and_innovation_priorities/" TargetMode="External"/><Relationship Id="rId34" Type="http://schemas.openxmlformats.org/officeDocument/2006/relationships/hyperlink" Target="https://www.prototypesforhumanity.com/latestnews/stories/how-to-apply" TargetMode="External"/><Relationship Id="rId42" Type="http://schemas.openxmlformats.org/officeDocument/2006/relationships/hyperlink" Target="https://bbgm-apply.yourcausegrants.com/apply/programs/09fe478b-e087-4fda-a13f-c664d96b004e" TargetMode="External"/><Relationship Id="rId47" Type="http://schemas.openxmlformats.org/officeDocument/2006/relationships/hyperlink" Target="https://charleshaywardfoundation.org.uk/grants/overseas/" TargetMode="External"/><Relationship Id="rId50" Type="http://schemas.openxmlformats.org/officeDocument/2006/relationships/hyperlink" Target="https://candidate.kbs-frb.be/en" TargetMode="External"/><Relationship Id="rId55" Type="http://schemas.openxmlformats.org/officeDocument/2006/relationships/hyperlink" Target="https://webgate.ec.europa.eu/funding-tenders-opportunities/display/OM/Online+Manual" TargetMode="External"/><Relationship Id="rId63" Type="http://schemas.openxmlformats.org/officeDocument/2006/relationships/hyperlink" Target="https://airtable.com/appdCqc8Acukxt3eB/pagt6K2geSkkpYnV0/form" TargetMode="External"/><Relationship Id="rId68" Type="http://schemas.openxmlformats.org/officeDocument/2006/relationships/hyperlink" Target="https://www.ccrif.org/sites/default/files/smallgrants/Application_Form_CCRIFSmallGrantsProgramme.doc" TargetMode="External"/><Relationship Id="rId7" Type="http://schemas.openxmlformats.org/officeDocument/2006/relationships/hyperlink" Target="https://tinyurl.com/44j9jz8d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tinyurl.com/bdhnuzte" TargetMode="External"/><Relationship Id="rId16" Type="http://schemas.openxmlformats.org/officeDocument/2006/relationships/hyperlink" Target="https://tinyurl.com/y8d4px9f" TargetMode="External"/><Relationship Id="rId29" Type="http://schemas.openxmlformats.org/officeDocument/2006/relationships/hyperlink" Target="https://www.ifad.org/en/w/calls-for-proposal/call-for-proposals-ifad-grant-to-implement-the-initiative-leveraging-ifad-s-rural-sector-performance-assessment-for-policy-and-investment-" TargetMode="External"/><Relationship Id="rId1" Type="http://schemas.openxmlformats.org/officeDocument/2006/relationships/hyperlink" Target="https://tinyurl.com/4c6nnm75" TargetMode="External"/><Relationship Id="rId6" Type="http://schemas.openxmlformats.org/officeDocument/2006/relationships/hyperlink" Target="https://tinyurl.com/bdbncswh" TargetMode="External"/><Relationship Id="rId11" Type="http://schemas.openxmlformats.org/officeDocument/2006/relationships/hyperlink" Target="https://tinyurl.com/yc7k26wy" TargetMode="External"/><Relationship Id="rId24" Type="http://schemas.openxmlformats.org/officeDocument/2006/relationships/hyperlink" Target="https://www.scientifyresearch.org/membership-account/membership-checkout/?level=1" TargetMode="External"/><Relationship Id="rId32" Type="http://schemas.openxmlformats.org/officeDocument/2006/relationships/hyperlink" Target="https://forms.gle/G96FJsZw8hN5mPr5A" TargetMode="External"/><Relationship Id="rId37" Type="http://schemas.openxmlformats.org/officeDocument/2006/relationships/hyperlink" Target="https://www.grantinterface.com/Home/Logon?urlkey=wun" TargetMode="External"/><Relationship Id="rId40" Type="http://schemas.openxmlformats.org/officeDocument/2006/relationships/hyperlink" Target="https://aps.onlineapplicationportal.com/awardee/" TargetMode="External"/><Relationship Id="rId45" Type="http://schemas.openxmlformats.org/officeDocument/2006/relationships/hyperlink" Target="https://www.rgs.org/media/3baak3gr/rgsibg-grant-application-lastname.docx" TargetMode="External"/><Relationship Id="rId53" Type="http://schemas.openxmlformats.org/officeDocument/2006/relationships/hyperlink" Target="https://www.ifad.org/en/w/calls-for-proposal/call-for-proposals-ifad-grant-to-implement-the-initiative-leveraging-ifad-s-rural-sector-performance-assessment-for-policy-and-investment-" TargetMode="External"/><Relationship Id="rId58" Type="http://schemas.openxmlformats.org/officeDocument/2006/relationships/hyperlink" Target="https://www.grantinterface.com/Home/Logon?urlkey=treefund" TargetMode="External"/><Relationship Id="rId66" Type="http://schemas.openxmlformats.org/officeDocument/2006/relationships/hyperlink" Target="https://eu.eventscloud.com/eSites/2027-risk-award/Homepage" TargetMode="External"/><Relationship Id="rId5" Type="http://schemas.openxmlformats.org/officeDocument/2006/relationships/hyperlink" Target="https://tinyurl.com/mr2ymjjz" TargetMode="External"/><Relationship Id="rId15" Type="http://schemas.openxmlformats.org/officeDocument/2006/relationships/hyperlink" Target="https://tinyurl.com/bdjm2hwv" TargetMode="External"/><Relationship Id="rId23" Type="http://schemas.openxmlformats.org/officeDocument/2006/relationships/hyperlink" Target="https://proposalcentral.com/" TargetMode="External"/><Relationship Id="rId28" Type="http://schemas.openxmlformats.org/officeDocument/2006/relationships/hyperlink" Target="https://buro.beezsocialerp.com/auth/sign-up" TargetMode="External"/><Relationship Id="rId36" Type="http://schemas.openxmlformats.org/officeDocument/2006/relationships/hyperlink" Target="https://britishacademy.flexigrant.com/" TargetMode="External"/><Relationship Id="rId49" Type="http://schemas.openxmlformats.org/officeDocument/2006/relationships/hyperlink" Target="https://nominateenvironment-prize.com/" TargetMode="External"/><Relationship Id="rId57" Type="http://schemas.openxmlformats.org/officeDocument/2006/relationships/hyperlink" Target="https://www.grantinterface.com/Home/Logon?urlkey=treefund" TargetMode="External"/><Relationship Id="rId61" Type="http://schemas.openxmlformats.org/officeDocument/2006/relationships/hyperlink" Target="https://tinybeamfund.org/files/galleries/2026_Kindling_Initiative_Grants_Concept_note_instructions.pdf" TargetMode="External"/><Relationship Id="rId10" Type="http://schemas.openxmlformats.org/officeDocument/2006/relationships/hyperlink" Target="https://tinyurl.com/4by6jwr2" TargetMode="External"/><Relationship Id="rId19" Type="http://schemas.openxmlformats.org/officeDocument/2006/relationships/hyperlink" Target="https://sigmanursing.submittable.com/submit" TargetMode="External"/><Relationship Id="rId31" Type="http://schemas.openxmlformats.org/officeDocument/2006/relationships/hyperlink" Target="http://bit.ly/LipmanApplication2027" TargetMode="External"/><Relationship Id="rId44" Type="http://schemas.openxmlformats.org/officeDocument/2006/relationships/hyperlink" Target="https://cfhfoundation.grantsmanagement08.com/?page_id=6" TargetMode="External"/><Relationship Id="rId52" Type="http://schemas.openxmlformats.org/officeDocument/2006/relationships/hyperlink" Target="https://ndncollective.fluxx.io/apply/caf" TargetMode="External"/><Relationship Id="rId60" Type="http://schemas.openxmlformats.org/officeDocument/2006/relationships/hyperlink" Target="https://www.grantinterface.com/Home/Logon?urlkey=treefund" TargetMode="External"/><Relationship Id="rId65" Type="http://schemas.openxmlformats.org/officeDocument/2006/relationships/hyperlink" Target="https://www.thecatalystfund.com/apply" TargetMode="External"/><Relationship Id="rId4" Type="http://schemas.openxmlformats.org/officeDocument/2006/relationships/hyperlink" Target="https://tinyurl.com/hpn4bur3" TargetMode="External"/><Relationship Id="rId9" Type="http://schemas.openxmlformats.org/officeDocument/2006/relationships/hyperlink" Target="https://tinyurl.com/uu7f24ee" TargetMode="External"/><Relationship Id="rId14" Type="http://schemas.openxmlformats.org/officeDocument/2006/relationships/hyperlink" Target="https://wphfund.org/rrw-short-term-grants" TargetMode="External"/><Relationship Id="rId22" Type="http://schemas.openxmlformats.org/officeDocument/2006/relationships/hyperlink" Target="https://onlineforms.twas.org/apply/301" TargetMode="External"/><Relationship Id="rId27" Type="http://schemas.openxmlformats.org/officeDocument/2006/relationships/hyperlink" Target="https://isocfoundation.fluxx.io/user_sessions/new" TargetMode="External"/><Relationship Id="rId30" Type="http://schemas.openxmlformats.org/officeDocument/2006/relationships/hyperlink" Target="https://csochallenge.org/" TargetMode="External"/><Relationship Id="rId35" Type="http://schemas.openxmlformats.org/officeDocument/2006/relationships/hyperlink" Target="https://myif.ifdesign.com/login" TargetMode="External"/><Relationship Id="rId43" Type="http://schemas.openxmlformats.org/officeDocument/2006/relationships/hyperlink" Target="https://portal.canonfoundation.org/" TargetMode="External"/><Relationship Id="rId48" Type="http://schemas.openxmlformats.org/officeDocument/2006/relationships/hyperlink" Target="https://form.jotform.com/260213959355360" TargetMode="External"/><Relationship Id="rId56" Type="http://schemas.openxmlformats.org/officeDocument/2006/relationships/hyperlink" Target="https://veluxstiftung.ch/applications/" TargetMode="External"/><Relationship Id="rId64" Type="http://schemas.openxmlformats.org/officeDocument/2006/relationships/hyperlink" Target="https://webgate.ec.europa.eu/funding-tenders-opportunities/display/OM/Online+Manual" TargetMode="External"/><Relationship Id="rId69" Type="http://schemas.openxmlformats.org/officeDocument/2006/relationships/hyperlink" Target="https://www.artonclimate.com/" TargetMode="External"/><Relationship Id="rId8" Type="http://schemas.openxmlformats.org/officeDocument/2006/relationships/hyperlink" Target="https://tinyurl.com/73ubmun7" TargetMode="External"/><Relationship Id="rId51" Type="http://schemas.openxmlformats.org/officeDocument/2006/relationships/hyperlink" Target="https://form.jotform.com/260881520405351" TargetMode="External"/><Relationship Id="rId3" Type="http://schemas.openxmlformats.org/officeDocument/2006/relationships/hyperlink" Target="https://tinyurl.com/yr9hhy5b" TargetMode="External"/><Relationship Id="rId12" Type="http://schemas.openxmlformats.org/officeDocument/2006/relationships/hyperlink" Target="https://tinyurl.com/4wktp2uw" TargetMode="External"/><Relationship Id="rId17" Type="http://schemas.openxmlformats.org/officeDocument/2006/relationships/hyperlink" Target="https://tinyurl.com/y2yyf7ms" TargetMode="External"/><Relationship Id="rId25" Type="http://schemas.openxmlformats.org/officeDocument/2006/relationships/hyperlink" Target="https://app.fundpro.se/calls/2524?lang=en" TargetMode="External"/><Relationship Id="rId33" Type="http://schemas.openxmlformats.org/officeDocument/2006/relationships/hyperlink" Target="https://idrc-crdi.smapply.io/prog/supporting_stisa_2034_sgci_multilateral_research_call_advancing_africas_science_technology_and_innovation_priorities/" TargetMode="External"/><Relationship Id="rId38" Type="http://schemas.openxmlformats.org/officeDocument/2006/relationships/hyperlink" Target="https://airtable.com/appAz0pWLtt9SwFl1/paghIRHWLBhEQPDw6/form" TargetMode="External"/><Relationship Id="rId46" Type="http://schemas.openxmlformats.org/officeDocument/2006/relationships/hyperlink" Target="https://www.dropbox.com/scl/fi/scr1iuf3p4vke7mr4ojip/JCT-Application-Form_Nov-2022.doc?rlkey=fhhx4ydj3rf2bg5oh1hvw3jfy&amp;e=1&amp;dl=0" TargetMode="External"/><Relationship Id="rId59" Type="http://schemas.openxmlformats.org/officeDocument/2006/relationships/hyperlink" Target="https://www.grantinterface.com/Home/Logon?urlkey=treefund" TargetMode="External"/><Relationship Id="rId67" Type="http://schemas.openxmlformats.org/officeDocument/2006/relationships/hyperlink" Target="https://aria.grantplatform.com/" TargetMode="External"/><Relationship Id="rId20" Type="http://schemas.openxmlformats.org/officeDocument/2006/relationships/hyperlink" Target="https://idrc-crdi.ca/sites/default/files/2026-06/ANeSA%20-%20Cohort%202%20Call%20for%20LoIs%20-%20Stream%202-New%20Grants-EN-2026%20Jun%2025-POSTED.pdf" TargetMode="External"/><Relationship Id="rId41" Type="http://schemas.openxmlformats.org/officeDocument/2006/relationships/hyperlink" Target="https://apply.unescoalfozanprize.org/login" TargetMode="External"/><Relationship Id="rId54" Type="http://schemas.openxmlformats.org/officeDocument/2006/relationships/hyperlink" Target="https://webgate.ec.europa.eu/funding-tenders-opportunities/display/OM/Online+Manual" TargetMode="External"/><Relationship Id="rId62" Type="http://schemas.openxmlformats.org/officeDocument/2006/relationships/hyperlink" Target="https://thrive.smapply.io/" TargetMode="External"/><Relationship Id="rId70" Type="http://schemas.openxmlformats.org/officeDocument/2006/relationships/hyperlink" Target="https://www.jrct.org.uk/sf-ap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1610-D4F2-4F46-9457-66BFBAB045CF}">
  <dimension ref="A1:F73"/>
  <sheetViews>
    <sheetView tabSelected="1" workbookViewId="0">
      <pane ySplit="1" topLeftCell="A61" activePane="bottomLeft" state="frozen"/>
      <selection pane="bottomLeft" activeCell="A3" sqref="A3:A73"/>
    </sheetView>
  </sheetViews>
  <sheetFormatPr defaultRowHeight="15" x14ac:dyDescent="0.25"/>
  <cols>
    <col min="1" max="1" width="37.28515625" customWidth="1"/>
    <col min="2" max="2" width="48.5703125" style="2" bestFit="1" customWidth="1"/>
    <col min="3" max="3" width="47.7109375" style="2" customWidth="1"/>
    <col min="4" max="4" width="32.42578125" style="5" bestFit="1" customWidth="1"/>
    <col min="5" max="5" width="35.28515625" style="2" customWidth="1"/>
    <col min="6" max="6" width="51.85546875" style="2" customWidth="1"/>
  </cols>
  <sheetData>
    <row r="1" spans="1:6" ht="15.75" x14ac:dyDescent="0.25">
      <c r="A1" s="16" t="s">
        <v>295</v>
      </c>
      <c r="B1" s="1" t="s">
        <v>294</v>
      </c>
      <c r="C1" s="1" t="s">
        <v>0</v>
      </c>
      <c r="D1" s="4" t="s">
        <v>1</v>
      </c>
      <c r="E1" s="1" t="s">
        <v>2</v>
      </c>
      <c r="F1" s="1" t="s">
        <v>3</v>
      </c>
    </row>
    <row r="2" spans="1:6" ht="30" x14ac:dyDescent="0.25">
      <c r="A2">
        <v>1</v>
      </c>
      <c r="B2" s="2" t="s">
        <v>6</v>
      </c>
      <c r="C2" s="2" t="s">
        <v>7</v>
      </c>
      <c r="D2" s="5" t="s">
        <v>8</v>
      </c>
      <c r="E2" s="2" t="s">
        <v>60</v>
      </c>
      <c r="F2" s="3" t="s">
        <v>61</v>
      </c>
    </row>
    <row r="3" spans="1:6" x14ac:dyDescent="0.25">
      <c r="A3">
        <f>SUM(A2+1)</f>
        <v>2</v>
      </c>
      <c r="B3" s="2" t="s">
        <v>9</v>
      </c>
      <c r="C3" s="2" t="s">
        <v>10</v>
      </c>
      <c r="D3" s="5" t="s">
        <v>11</v>
      </c>
      <c r="E3" s="2" t="s">
        <v>12</v>
      </c>
      <c r="F3" s="3" t="s">
        <v>62</v>
      </c>
    </row>
    <row r="4" spans="1:6" ht="30" x14ac:dyDescent="0.25">
      <c r="A4">
        <f t="shared" ref="A4:A67" si="0">SUM(A3+1)</f>
        <v>3</v>
      </c>
      <c r="B4" s="2" t="s">
        <v>13</v>
      </c>
      <c r="C4" s="2" t="s">
        <v>14</v>
      </c>
      <c r="D4" s="5" t="s">
        <v>15</v>
      </c>
      <c r="E4" s="2" t="s">
        <v>16</v>
      </c>
      <c r="F4" s="3" t="s">
        <v>63</v>
      </c>
    </row>
    <row r="5" spans="1:6" ht="30" x14ac:dyDescent="0.25">
      <c r="A5">
        <f t="shared" si="0"/>
        <v>4</v>
      </c>
      <c r="B5" s="2" t="s">
        <v>17</v>
      </c>
      <c r="C5" s="2" t="s">
        <v>18</v>
      </c>
      <c r="D5" s="5" t="s">
        <v>19</v>
      </c>
      <c r="E5" s="2" t="s">
        <v>20</v>
      </c>
      <c r="F5" s="3" t="s">
        <v>64</v>
      </c>
    </row>
    <row r="6" spans="1:6" ht="30" x14ac:dyDescent="0.25">
      <c r="A6">
        <f t="shared" si="0"/>
        <v>5</v>
      </c>
      <c r="B6" s="2" t="s">
        <v>21</v>
      </c>
      <c r="C6" s="2" t="s">
        <v>22</v>
      </c>
      <c r="D6" s="5" t="s">
        <v>19</v>
      </c>
      <c r="E6" s="2" t="s">
        <v>5</v>
      </c>
      <c r="F6" s="3" t="s">
        <v>65</v>
      </c>
    </row>
    <row r="7" spans="1:6" ht="30" x14ac:dyDescent="0.25">
      <c r="A7">
        <f t="shared" si="0"/>
        <v>6</v>
      </c>
      <c r="B7" s="2" t="s">
        <v>23</v>
      </c>
      <c r="C7" s="2" t="s">
        <v>24</v>
      </c>
      <c r="D7" s="5" t="s">
        <v>19</v>
      </c>
      <c r="E7" s="2" t="s">
        <v>25</v>
      </c>
      <c r="F7" s="3" t="s">
        <v>66</v>
      </c>
    </row>
    <row r="8" spans="1:6" ht="30" x14ac:dyDescent="0.25">
      <c r="A8">
        <f t="shared" si="0"/>
        <v>7</v>
      </c>
      <c r="B8" s="2" t="s">
        <v>26</v>
      </c>
      <c r="C8" s="2" t="s">
        <v>27</v>
      </c>
      <c r="D8" s="5" t="s">
        <v>19</v>
      </c>
      <c r="E8" s="2" t="s">
        <v>28</v>
      </c>
      <c r="F8" s="3" t="s">
        <v>67</v>
      </c>
    </row>
    <row r="9" spans="1:6" ht="30" x14ac:dyDescent="0.25">
      <c r="A9">
        <f t="shared" si="0"/>
        <v>8</v>
      </c>
      <c r="B9" s="2" t="s">
        <v>29</v>
      </c>
      <c r="C9" s="2" t="s">
        <v>30</v>
      </c>
      <c r="D9" s="5" t="s">
        <v>19</v>
      </c>
      <c r="E9" s="2" t="s">
        <v>31</v>
      </c>
      <c r="F9" s="3" t="s">
        <v>68</v>
      </c>
    </row>
    <row r="10" spans="1:6" ht="30" x14ac:dyDescent="0.25">
      <c r="A10">
        <f t="shared" si="0"/>
        <v>9</v>
      </c>
      <c r="B10" s="2" t="s">
        <v>32</v>
      </c>
      <c r="C10" s="2" t="s">
        <v>33</v>
      </c>
      <c r="D10" s="5" t="s">
        <v>19</v>
      </c>
      <c r="E10" s="2" t="s">
        <v>34</v>
      </c>
      <c r="F10" s="3" t="s">
        <v>69</v>
      </c>
    </row>
    <row r="11" spans="1:6" ht="30" x14ac:dyDescent="0.25">
      <c r="A11">
        <f t="shared" si="0"/>
        <v>10</v>
      </c>
      <c r="B11" s="2" t="s">
        <v>35</v>
      </c>
      <c r="C11" s="2" t="s">
        <v>36</v>
      </c>
      <c r="D11" s="5" t="s">
        <v>19</v>
      </c>
      <c r="E11" s="2" t="s">
        <v>37</v>
      </c>
      <c r="F11" s="3" t="s">
        <v>70</v>
      </c>
    </row>
    <row r="12" spans="1:6" ht="30" x14ac:dyDescent="0.25">
      <c r="A12">
        <f t="shared" si="0"/>
        <v>11</v>
      </c>
      <c r="B12" s="2" t="s">
        <v>38</v>
      </c>
      <c r="C12" s="2" t="s">
        <v>39</v>
      </c>
      <c r="D12" s="5" t="s">
        <v>19</v>
      </c>
      <c r="E12" s="2" t="s">
        <v>40</v>
      </c>
      <c r="F12" s="3" t="s">
        <v>71</v>
      </c>
    </row>
    <row r="13" spans="1:6" ht="30" x14ac:dyDescent="0.25">
      <c r="A13">
        <f t="shared" si="0"/>
        <v>12</v>
      </c>
      <c r="B13" s="2" t="s">
        <v>41</v>
      </c>
      <c r="C13" s="2" t="s">
        <v>42</v>
      </c>
      <c r="D13" s="5" t="s">
        <v>19</v>
      </c>
      <c r="E13" s="2" t="s">
        <v>43</v>
      </c>
      <c r="F13" s="3" t="s">
        <v>73</v>
      </c>
    </row>
    <row r="14" spans="1:6" ht="30" x14ac:dyDescent="0.25">
      <c r="A14">
        <f t="shared" si="0"/>
        <v>13</v>
      </c>
      <c r="B14" s="2" t="s">
        <v>44</v>
      </c>
      <c r="C14" s="2" t="s">
        <v>45</v>
      </c>
      <c r="D14" s="5" t="s">
        <v>19</v>
      </c>
      <c r="E14" s="2" t="s">
        <v>43</v>
      </c>
      <c r="F14" s="3" t="s">
        <v>72</v>
      </c>
    </row>
    <row r="15" spans="1:6" ht="30" x14ac:dyDescent="0.25">
      <c r="A15">
        <f t="shared" si="0"/>
        <v>14</v>
      </c>
      <c r="B15" s="2" t="s">
        <v>46</v>
      </c>
      <c r="C15" s="2" t="s">
        <v>47</v>
      </c>
      <c r="D15" s="5" t="s">
        <v>19</v>
      </c>
      <c r="E15" s="2" t="s">
        <v>48</v>
      </c>
      <c r="F15" s="3" t="s">
        <v>74</v>
      </c>
    </row>
    <row r="16" spans="1:6" ht="30" x14ac:dyDescent="0.25">
      <c r="A16">
        <f t="shared" si="0"/>
        <v>15</v>
      </c>
      <c r="B16" s="2" t="s">
        <v>49</v>
      </c>
      <c r="C16" s="2" t="s">
        <v>50</v>
      </c>
      <c r="D16" s="5" t="s">
        <v>19</v>
      </c>
      <c r="E16" s="2" t="s">
        <v>51</v>
      </c>
      <c r="F16" s="3" t="s">
        <v>75</v>
      </c>
    </row>
    <row r="17" spans="1:6" ht="30" x14ac:dyDescent="0.25">
      <c r="A17">
        <f t="shared" si="0"/>
        <v>16</v>
      </c>
      <c r="B17" s="2" t="s">
        <v>52</v>
      </c>
      <c r="C17" s="2" t="s">
        <v>53</v>
      </c>
      <c r="D17" s="5" t="s">
        <v>19</v>
      </c>
      <c r="E17" s="2" t="s">
        <v>54</v>
      </c>
      <c r="F17" s="3" t="s">
        <v>76</v>
      </c>
    </row>
    <row r="18" spans="1:6" ht="120" x14ac:dyDescent="0.25">
      <c r="A18">
        <f t="shared" si="0"/>
        <v>17</v>
      </c>
      <c r="B18" s="2" t="s">
        <v>55</v>
      </c>
      <c r="C18" s="2" t="s">
        <v>56</v>
      </c>
      <c r="D18" s="5" t="s">
        <v>19</v>
      </c>
      <c r="E18" s="2" t="s">
        <v>77</v>
      </c>
      <c r="F18" s="3" t="s">
        <v>78</v>
      </c>
    </row>
    <row r="19" spans="1:6" ht="30" x14ac:dyDescent="0.25">
      <c r="A19">
        <f t="shared" si="0"/>
        <v>18</v>
      </c>
      <c r="B19" s="2" t="s">
        <v>57</v>
      </c>
      <c r="C19" s="2" t="s">
        <v>58</v>
      </c>
      <c r="D19" s="5" t="s">
        <v>19</v>
      </c>
      <c r="E19" s="2" t="s">
        <v>59</v>
      </c>
      <c r="F19" s="3" t="s">
        <v>79</v>
      </c>
    </row>
    <row r="20" spans="1:6" x14ac:dyDescent="0.25">
      <c r="A20">
        <f t="shared" si="0"/>
        <v>19</v>
      </c>
      <c r="B20" s="2" t="s">
        <v>81</v>
      </c>
      <c r="C20" s="2" t="s">
        <v>80</v>
      </c>
      <c r="D20" s="5" t="s">
        <v>83</v>
      </c>
      <c r="E20" s="2" t="s">
        <v>84</v>
      </c>
      <c r="F20" s="3" t="s">
        <v>82</v>
      </c>
    </row>
    <row r="21" spans="1:6" ht="75" x14ac:dyDescent="0.25">
      <c r="A21">
        <f t="shared" si="0"/>
        <v>20</v>
      </c>
      <c r="B21" s="2" t="s">
        <v>85</v>
      </c>
      <c r="C21" s="2" t="s">
        <v>86</v>
      </c>
      <c r="D21" s="5" t="s">
        <v>87</v>
      </c>
      <c r="E21" s="2" t="s">
        <v>88</v>
      </c>
      <c r="F21" s="3" t="s">
        <v>89</v>
      </c>
    </row>
    <row r="22" spans="1:6" ht="75" x14ac:dyDescent="0.25">
      <c r="A22">
        <f t="shared" si="0"/>
        <v>21</v>
      </c>
      <c r="B22" s="2" t="s">
        <v>91</v>
      </c>
      <c r="C22" s="2" t="s">
        <v>90</v>
      </c>
      <c r="D22" s="5" t="s">
        <v>92</v>
      </c>
      <c r="E22" s="2" t="s">
        <v>93</v>
      </c>
      <c r="F22" s="3" t="s">
        <v>94</v>
      </c>
    </row>
    <row r="23" spans="1:6" x14ac:dyDescent="0.25">
      <c r="A23">
        <f t="shared" si="0"/>
        <v>22</v>
      </c>
      <c r="B23" s="2" t="s">
        <v>95</v>
      </c>
      <c r="C23" s="2" t="s">
        <v>4</v>
      </c>
      <c r="D23" s="5">
        <v>46234</v>
      </c>
      <c r="E23" s="2" t="s">
        <v>96</v>
      </c>
      <c r="F23" s="3" t="s">
        <v>97</v>
      </c>
    </row>
    <row r="24" spans="1:6" x14ac:dyDescent="0.25">
      <c r="A24">
        <f t="shared" si="0"/>
        <v>23</v>
      </c>
      <c r="B24" s="2" t="s">
        <v>98</v>
      </c>
      <c r="C24" s="2" t="s">
        <v>101</v>
      </c>
      <c r="D24" s="5" t="s">
        <v>99</v>
      </c>
      <c r="E24" s="2" t="s">
        <v>100</v>
      </c>
      <c r="F24" s="3" t="s">
        <v>102</v>
      </c>
    </row>
    <row r="25" spans="1:6" ht="30" x14ac:dyDescent="0.25">
      <c r="A25">
        <f t="shared" si="0"/>
        <v>24</v>
      </c>
      <c r="B25" s="2" t="s">
        <v>104</v>
      </c>
      <c r="C25" s="2" t="s">
        <v>103</v>
      </c>
      <c r="D25" s="5">
        <v>46273</v>
      </c>
      <c r="E25" s="2" t="s">
        <v>105</v>
      </c>
      <c r="F25" s="3" t="s">
        <v>106</v>
      </c>
    </row>
    <row r="26" spans="1:6" x14ac:dyDescent="0.25">
      <c r="A26">
        <f t="shared" si="0"/>
        <v>25</v>
      </c>
      <c r="B26" s="2" t="s">
        <v>107</v>
      </c>
      <c r="C26" s="2" t="s">
        <v>108</v>
      </c>
      <c r="D26" s="5" t="s">
        <v>110</v>
      </c>
      <c r="E26" s="2" t="s">
        <v>109</v>
      </c>
      <c r="F26" s="3" t="s">
        <v>111</v>
      </c>
    </row>
    <row r="27" spans="1:6" s="9" customFormat="1" ht="75" x14ac:dyDescent="0.25">
      <c r="A27">
        <f t="shared" si="0"/>
        <v>26</v>
      </c>
      <c r="B27" s="6" t="s">
        <v>114</v>
      </c>
      <c r="C27" s="6" t="s">
        <v>112</v>
      </c>
      <c r="D27" s="7" t="s">
        <v>116</v>
      </c>
      <c r="E27" s="6" t="s">
        <v>115</v>
      </c>
      <c r="F27" s="8" t="s">
        <v>113</v>
      </c>
    </row>
    <row r="28" spans="1:6" s="9" customFormat="1" ht="30" x14ac:dyDescent="0.25">
      <c r="A28">
        <f t="shared" si="0"/>
        <v>27</v>
      </c>
      <c r="B28" s="6" t="s">
        <v>117</v>
      </c>
      <c r="C28" s="6" t="s">
        <v>118</v>
      </c>
      <c r="D28" s="7" t="s">
        <v>120</v>
      </c>
      <c r="E28" s="6" t="s">
        <v>119</v>
      </c>
      <c r="F28" s="8" t="s">
        <v>121</v>
      </c>
    </row>
    <row r="29" spans="1:6" s="9" customFormat="1" ht="30" x14ac:dyDescent="0.25">
      <c r="A29">
        <f t="shared" si="0"/>
        <v>28</v>
      </c>
      <c r="B29" s="6" t="s">
        <v>126</v>
      </c>
      <c r="C29" s="6" t="s">
        <v>125</v>
      </c>
      <c r="D29" s="7" t="s">
        <v>122</v>
      </c>
      <c r="E29" s="6" t="s">
        <v>123</v>
      </c>
      <c r="F29" s="8" t="s">
        <v>124</v>
      </c>
    </row>
    <row r="30" spans="1:6" ht="60" x14ac:dyDescent="0.25">
      <c r="A30">
        <f t="shared" si="0"/>
        <v>29</v>
      </c>
      <c r="B30" s="2" t="s">
        <v>128</v>
      </c>
      <c r="C30" s="2" t="s">
        <v>127</v>
      </c>
      <c r="D30" s="5" t="s">
        <v>129</v>
      </c>
      <c r="E30" s="2" t="s">
        <v>130</v>
      </c>
      <c r="F30" s="3" t="s">
        <v>131</v>
      </c>
    </row>
    <row r="31" spans="1:6" ht="30" x14ac:dyDescent="0.25">
      <c r="A31">
        <f t="shared" si="0"/>
        <v>30</v>
      </c>
      <c r="B31" s="2" t="s">
        <v>185</v>
      </c>
      <c r="D31" s="15">
        <v>46234</v>
      </c>
      <c r="E31" s="2" t="s">
        <v>186</v>
      </c>
      <c r="F31" s="3" t="s">
        <v>187</v>
      </c>
    </row>
    <row r="32" spans="1:6" ht="60" x14ac:dyDescent="0.25">
      <c r="A32">
        <f t="shared" si="0"/>
        <v>31</v>
      </c>
      <c r="B32" s="2" t="s">
        <v>188</v>
      </c>
      <c r="C32" s="2" t="s">
        <v>257</v>
      </c>
      <c r="D32" s="15">
        <v>46234</v>
      </c>
      <c r="E32" s="2" t="s">
        <v>189</v>
      </c>
      <c r="F32" s="3" t="s">
        <v>190</v>
      </c>
    </row>
    <row r="33" spans="1:6" x14ac:dyDescent="0.25">
      <c r="A33">
        <f t="shared" si="0"/>
        <v>32</v>
      </c>
      <c r="B33" s="2" t="s">
        <v>191</v>
      </c>
      <c r="C33" s="2" t="s">
        <v>258</v>
      </c>
      <c r="D33" s="15">
        <v>46264</v>
      </c>
      <c r="E33" s="2" t="s">
        <v>144</v>
      </c>
      <c r="F33" s="3" t="s">
        <v>192</v>
      </c>
    </row>
    <row r="34" spans="1:6" ht="60" x14ac:dyDescent="0.25">
      <c r="A34">
        <f t="shared" si="0"/>
        <v>33</v>
      </c>
      <c r="B34" s="2" t="s">
        <v>193</v>
      </c>
      <c r="C34" s="2" t="s">
        <v>259</v>
      </c>
      <c r="D34" s="15">
        <v>46290</v>
      </c>
      <c r="E34" s="2" t="s">
        <v>194</v>
      </c>
      <c r="F34" s="3" t="s">
        <v>195</v>
      </c>
    </row>
    <row r="35" spans="1:6" ht="30" x14ac:dyDescent="0.25">
      <c r="A35">
        <f t="shared" si="0"/>
        <v>34</v>
      </c>
      <c r="B35" s="2" t="s">
        <v>196</v>
      </c>
      <c r="C35" s="2" t="s">
        <v>260</v>
      </c>
      <c r="D35" s="15">
        <v>46237</v>
      </c>
      <c r="E35" s="2" t="s">
        <v>197</v>
      </c>
      <c r="F35" s="3" t="s">
        <v>198</v>
      </c>
    </row>
    <row r="36" spans="1:6" ht="30" x14ac:dyDescent="0.25">
      <c r="A36">
        <f t="shared" si="0"/>
        <v>35</v>
      </c>
      <c r="B36" s="2" t="s">
        <v>199</v>
      </c>
      <c r="C36" s="2" t="s">
        <v>261</v>
      </c>
      <c r="D36" s="15">
        <v>46253</v>
      </c>
      <c r="E36" s="2" t="s">
        <v>200</v>
      </c>
      <c r="F36" s="3" t="s">
        <v>201</v>
      </c>
    </row>
    <row r="37" spans="1:6" ht="30" x14ac:dyDescent="0.25">
      <c r="A37">
        <f t="shared" si="0"/>
        <v>36</v>
      </c>
      <c r="B37" s="2" t="s">
        <v>202</v>
      </c>
      <c r="C37" s="2" t="s">
        <v>262</v>
      </c>
      <c r="D37" s="15">
        <v>46302</v>
      </c>
      <c r="E37" s="2" t="s">
        <v>203</v>
      </c>
      <c r="F37" s="3" t="s">
        <v>204</v>
      </c>
    </row>
    <row r="38" spans="1:6" ht="30" x14ac:dyDescent="0.25">
      <c r="A38">
        <f t="shared" si="0"/>
        <v>37</v>
      </c>
      <c r="B38" s="2" t="s">
        <v>205</v>
      </c>
      <c r="C38" s="2" t="s">
        <v>263</v>
      </c>
      <c r="D38" t="s">
        <v>206</v>
      </c>
      <c r="E38" s="2" t="s">
        <v>207</v>
      </c>
      <c r="F38" s="3" t="s">
        <v>208</v>
      </c>
    </row>
    <row r="39" spans="1:6" ht="30" x14ac:dyDescent="0.25">
      <c r="A39">
        <f t="shared" si="0"/>
        <v>38</v>
      </c>
      <c r="B39" s="2" t="s">
        <v>209</v>
      </c>
      <c r="C39" s="2" t="s">
        <v>269</v>
      </c>
      <c r="D39" s="15">
        <v>46234</v>
      </c>
      <c r="E39" s="2" t="s">
        <v>210</v>
      </c>
      <c r="F39" s="3" t="s">
        <v>211</v>
      </c>
    </row>
    <row r="40" spans="1:6" ht="30" x14ac:dyDescent="0.25">
      <c r="A40">
        <f t="shared" si="0"/>
        <v>39</v>
      </c>
      <c r="B40" s="2" t="s">
        <v>212</v>
      </c>
      <c r="C40" s="2" t="s">
        <v>270</v>
      </c>
      <c r="D40" s="15">
        <v>46288</v>
      </c>
      <c r="E40" s="2" t="s">
        <v>213</v>
      </c>
      <c r="F40" s="3" t="s">
        <v>214</v>
      </c>
    </row>
    <row r="41" spans="1:6" ht="45" x14ac:dyDescent="0.25">
      <c r="A41">
        <f t="shared" si="0"/>
        <v>40</v>
      </c>
      <c r="B41" s="2" t="s">
        <v>216</v>
      </c>
      <c r="C41" s="2" t="s">
        <v>271</v>
      </c>
      <c r="D41" s="15">
        <v>46314</v>
      </c>
      <c r="E41" s="2" t="s">
        <v>217</v>
      </c>
      <c r="F41" s="2" t="s">
        <v>215</v>
      </c>
    </row>
    <row r="42" spans="1:6" ht="30" x14ac:dyDescent="0.25">
      <c r="A42">
        <f t="shared" si="0"/>
        <v>41</v>
      </c>
      <c r="B42" s="2" t="s">
        <v>219</v>
      </c>
      <c r="C42" s="2" t="s">
        <v>272</v>
      </c>
      <c r="D42" s="15">
        <v>46342</v>
      </c>
      <c r="E42" s="2" t="s">
        <v>182</v>
      </c>
      <c r="F42" s="3" t="s">
        <v>218</v>
      </c>
    </row>
    <row r="43" spans="1:6" x14ac:dyDescent="0.25">
      <c r="A43">
        <f t="shared" si="0"/>
        <v>42</v>
      </c>
      <c r="B43" s="2" t="s">
        <v>220</v>
      </c>
      <c r="C43" s="2" t="s">
        <v>273</v>
      </c>
      <c r="D43" s="15">
        <v>46356</v>
      </c>
      <c r="E43" s="2" t="s">
        <v>221</v>
      </c>
      <c r="F43" s="3" t="s">
        <v>222</v>
      </c>
    </row>
    <row r="44" spans="1:6" ht="45" x14ac:dyDescent="0.25">
      <c r="A44">
        <f t="shared" si="0"/>
        <v>43</v>
      </c>
      <c r="B44" s="2" t="s">
        <v>223</v>
      </c>
      <c r="C44" s="2" t="s">
        <v>274</v>
      </c>
      <c r="D44" t="s">
        <v>224</v>
      </c>
      <c r="E44" s="2" t="s">
        <v>225</v>
      </c>
      <c r="F44" s="3" t="s">
        <v>226</v>
      </c>
    </row>
    <row r="45" spans="1:6" ht="30" x14ac:dyDescent="0.25">
      <c r="A45">
        <f t="shared" si="0"/>
        <v>44</v>
      </c>
      <c r="B45" s="2" t="s">
        <v>227</v>
      </c>
      <c r="C45" s="2" t="s">
        <v>275</v>
      </c>
      <c r="D45" s="15">
        <v>46280</v>
      </c>
      <c r="E45" s="2" t="s">
        <v>228</v>
      </c>
      <c r="F45" s="3" t="s">
        <v>229</v>
      </c>
    </row>
    <row r="46" spans="1:6" ht="30" x14ac:dyDescent="0.25">
      <c r="A46">
        <f t="shared" si="0"/>
        <v>45</v>
      </c>
      <c r="B46" s="2" t="s">
        <v>230</v>
      </c>
      <c r="C46" s="2" t="s">
        <v>276</v>
      </c>
      <c r="D46" s="15">
        <v>46378</v>
      </c>
      <c r="E46" s="2" t="s">
        <v>231</v>
      </c>
      <c r="F46" s="3" t="s">
        <v>232</v>
      </c>
    </row>
    <row r="47" spans="1:6" ht="30" x14ac:dyDescent="0.25">
      <c r="A47">
        <f t="shared" si="0"/>
        <v>46</v>
      </c>
      <c r="B47" s="2" t="s">
        <v>234</v>
      </c>
      <c r="C47" s="2" t="s">
        <v>277</v>
      </c>
      <c r="D47" s="15">
        <v>46395</v>
      </c>
      <c r="E47" s="2" t="s">
        <v>235</v>
      </c>
      <c r="F47" s="3" t="s">
        <v>233</v>
      </c>
    </row>
    <row r="48" spans="1:6" ht="45" x14ac:dyDescent="0.25">
      <c r="A48">
        <f t="shared" si="0"/>
        <v>47</v>
      </c>
      <c r="B48" s="2" t="s">
        <v>236</v>
      </c>
      <c r="C48" s="2" t="s">
        <v>278</v>
      </c>
      <c r="D48" t="s">
        <v>237</v>
      </c>
      <c r="E48" s="2" t="s">
        <v>238</v>
      </c>
      <c r="F48" s="3" t="s">
        <v>239</v>
      </c>
    </row>
    <row r="49" spans="1:6" ht="30" x14ac:dyDescent="0.25">
      <c r="A49">
        <f t="shared" si="0"/>
        <v>48</v>
      </c>
      <c r="B49" s="2" t="s">
        <v>242</v>
      </c>
      <c r="C49" s="2" t="s">
        <v>279</v>
      </c>
      <c r="D49" s="15">
        <v>46283</v>
      </c>
      <c r="E49" s="2" t="s">
        <v>241</v>
      </c>
      <c r="F49" s="3" t="s">
        <v>240</v>
      </c>
    </row>
    <row r="50" spans="1:6" ht="30" x14ac:dyDescent="0.25">
      <c r="A50">
        <f t="shared" si="0"/>
        <v>49</v>
      </c>
      <c r="B50" s="2" t="s">
        <v>243</v>
      </c>
      <c r="C50" s="2" t="s">
        <v>280</v>
      </c>
      <c r="D50" s="15">
        <v>46295</v>
      </c>
      <c r="E50" s="2" t="s">
        <v>245</v>
      </c>
      <c r="F50" s="3" t="s">
        <v>244</v>
      </c>
    </row>
    <row r="51" spans="1:6" x14ac:dyDescent="0.25">
      <c r="A51">
        <f t="shared" si="0"/>
        <v>50</v>
      </c>
      <c r="B51" s="2" t="s">
        <v>247</v>
      </c>
      <c r="C51" s="2" t="s">
        <v>281</v>
      </c>
      <c r="D51" s="15">
        <v>46407</v>
      </c>
      <c r="E51" s="2" t="s">
        <v>248</v>
      </c>
      <c r="F51" s="3" t="s">
        <v>246</v>
      </c>
    </row>
    <row r="52" spans="1:6" x14ac:dyDescent="0.25">
      <c r="A52">
        <f t="shared" si="0"/>
        <v>51</v>
      </c>
      <c r="B52" s="2" t="s">
        <v>249</v>
      </c>
      <c r="C52" s="2" t="s">
        <v>282</v>
      </c>
      <c r="D52" s="15">
        <v>46295</v>
      </c>
      <c r="E52" s="2" t="s">
        <v>250</v>
      </c>
      <c r="F52" s="3" t="s">
        <v>251</v>
      </c>
    </row>
    <row r="53" spans="1:6" ht="30" x14ac:dyDescent="0.25">
      <c r="A53">
        <f t="shared" si="0"/>
        <v>52</v>
      </c>
      <c r="B53" s="2" t="s">
        <v>253</v>
      </c>
      <c r="C53" s="2" t="s">
        <v>283</v>
      </c>
      <c r="D53" s="15">
        <v>46283</v>
      </c>
      <c r="E53" s="2" t="s">
        <v>182</v>
      </c>
      <c r="F53" s="3" t="s">
        <v>252</v>
      </c>
    </row>
    <row r="54" spans="1:6" x14ac:dyDescent="0.25">
      <c r="A54">
        <f t="shared" si="0"/>
        <v>53</v>
      </c>
      <c r="B54" s="2" t="s">
        <v>254</v>
      </c>
      <c r="C54" s="2" t="s">
        <v>284</v>
      </c>
      <c r="D54" s="15">
        <v>46311</v>
      </c>
      <c r="E54" s="2" t="s">
        <v>255</v>
      </c>
      <c r="F54" s="3" t="s">
        <v>256</v>
      </c>
    </row>
    <row r="55" spans="1:6" ht="60" x14ac:dyDescent="0.25">
      <c r="A55">
        <f t="shared" si="0"/>
        <v>54</v>
      </c>
      <c r="B55" s="2" t="s">
        <v>132</v>
      </c>
      <c r="C55" s="2" t="s">
        <v>285</v>
      </c>
      <c r="D55" s="10">
        <v>46269</v>
      </c>
      <c r="E55" s="2" t="s">
        <v>133</v>
      </c>
      <c r="F55" s="3" t="s">
        <v>131</v>
      </c>
    </row>
    <row r="56" spans="1:6" ht="30" x14ac:dyDescent="0.25">
      <c r="A56">
        <f t="shared" si="0"/>
        <v>55</v>
      </c>
      <c r="B56" s="12" t="s">
        <v>134</v>
      </c>
      <c r="C56" s="12" t="s">
        <v>286</v>
      </c>
      <c r="D56" s="12" t="s">
        <v>135</v>
      </c>
      <c r="E56" s="12"/>
      <c r="F56" s="12"/>
    </row>
    <row r="57" spans="1:6" ht="30" x14ac:dyDescent="0.25">
      <c r="A57">
        <f t="shared" si="0"/>
        <v>56</v>
      </c>
      <c r="B57" s="2" t="s">
        <v>136</v>
      </c>
      <c r="C57" s="2" t="s">
        <v>287</v>
      </c>
      <c r="D57" s="10">
        <v>46282</v>
      </c>
      <c r="E57" s="2" t="s">
        <v>137</v>
      </c>
      <c r="F57" s="3" t="s">
        <v>138</v>
      </c>
    </row>
    <row r="58" spans="1:6" ht="30" x14ac:dyDescent="0.25">
      <c r="A58">
        <f t="shared" si="0"/>
        <v>57</v>
      </c>
      <c r="B58" s="2" t="s">
        <v>139</v>
      </c>
      <c r="C58" s="2" t="s">
        <v>287</v>
      </c>
      <c r="D58" s="10">
        <v>46282</v>
      </c>
      <c r="E58" s="2" t="s">
        <v>140</v>
      </c>
      <c r="F58" s="3" t="s">
        <v>138</v>
      </c>
    </row>
    <row r="59" spans="1:6" ht="30" x14ac:dyDescent="0.25">
      <c r="A59">
        <f t="shared" si="0"/>
        <v>58</v>
      </c>
      <c r="B59" s="2" t="s">
        <v>141</v>
      </c>
      <c r="C59" s="2" t="s">
        <v>288</v>
      </c>
      <c r="D59" s="10">
        <v>46286</v>
      </c>
      <c r="E59" s="2" t="s">
        <v>142</v>
      </c>
      <c r="F59" s="3" t="s">
        <v>143</v>
      </c>
    </row>
    <row r="60" spans="1:6" ht="30" x14ac:dyDescent="0.25">
      <c r="A60">
        <f t="shared" si="0"/>
        <v>59</v>
      </c>
      <c r="B60" s="2" t="s">
        <v>146</v>
      </c>
      <c r="C60" s="2" t="s">
        <v>289</v>
      </c>
      <c r="D60" s="10">
        <v>46280</v>
      </c>
      <c r="E60" s="2" t="s">
        <v>145</v>
      </c>
      <c r="F60" s="3" t="s">
        <v>147</v>
      </c>
    </row>
    <row r="61" spans="1:6" ht="30" x14ac:dyDescent="0.25">
      <c r="A61">
        <f t="shared" si="0"/>
        <v>60</v>
      </c>
      <c r="B61" s="2" t="s">
        <v>148</v>
      </c>
      <c r="C61" s="2" t="s">
        <v>148</v>
      </c>
      <c r="D61" s="10">
        <v>46280</v>
      </c>
      <c r="E61" s="2" t="s">
        <v>149</v>
      </c>
      <c r="F61" s="3" t="s">
        <v>147</v>
      </c>
    </row>
    <row r="62" spans="1:6" ht="30" x14ac:dyDescent="0.25">
      <c r="A62">
        <f t="shared" si="0"/>
        <v>61</v>
      </c>
      <c r="B62" s="2" t="s">
        <v>150</v>
      </c>
      <c r="C62" s="2" t="s">
        <v>150</v>
      </c>
      <c r="D62" s="10">
        <v>46280</v>
      </c>
      <c r="E62" s="2" t="s">
        <v>151</v>
      </c>
      <c r="F62" s="3" t="s">
        <v>147</v>
      </c>
    </row>
    <row r="63" spans="1:6" ht="30" x14ac:dyDescent="0.25">
      <c r="A63">
        <f t="shared" si="0"/>
        <v>62</v>
      </c>
      <c r="B63" s="2" t="s">
        <v>152</v>
      </c>
      <c r="C63" s="2" t="s">
        <v>152</v>
      </c>
      <c r="D63" s="10">
        <v>46280</v>
      </c>
      <c r="E63" s="2" t="s">
        <v>153</v>
      </c>
      <c r="F63" s="3" t="s">
        <v>147</v>
      </c>
    </row>
    <row r="64" spans="1:6" ht="30" x14ac:dyDescent="0.25">
      <c r="A64">
        <f t="shared" si="0"/>
        <v>63</v>
      </c>
      <c r="B64" s="2" t="s">
        <v>154</v>
      </c>
      <c r="C64" s="2" t="s">
        <v>290</v>
      </c>
      <c r="D64" s="2" t="s">
        <v>157</v>
      </c>
      <c r="E64" s="11" t="s">
        <v>155</v>
      </c>
      <c r="F64" s="3" t="s">
        <v>156</v>
      </c>
    </row>
    <row r="65" spans="1:6" ht="30" x14ac:dyDescent="0.25">
      <c r="A65">
        <f t="shared" si="0"/>
        <v>64</v>
      </c>
      <c r="B65" s="2" t="s">
        <v>158</v>
      </c>
      <c r="C65" s="2" t="s">
        <v>291</v>
      </c>
      <c r="D65" s="2" t="s">
        <v>159</v>
      </c>
      <c r="E65" s="2" t="s">
        <v>160</v>
      </c>
      <c r="F65" s="3" t="s">
        <v>161</v>
      </c>
    </row>
    <row r="66" spans="1:6" ht="30" x14ac:dyDescent="0.25">
      <c r="A66">
        <f t="shared" si="0"/>
        <v>65</v>
      </c>
      <c r="B66" s="2" t="s">
        <v>162</v>
      </c>
      <c r="C66" s="2" t="s">
        <v>264</v>
      </c>
      <c r="D66" s="10">
        <v>46235</v>
      </c>
      <c r="E66" s="2" t="s">
        <v>144</v>
      </c>
      <c r="F66" s="3" t="s">
        <v>163</v>
      </c>
    </row>
    <row r="67" spans="1:6" ht="30" x14ac:dyDescent="0.25">
      <c r="A67">
        <f t="shared" si="0"/>
        <v>66</v>
      </c>
      <c r="B67" s="2" t="s">
        <v>164</v>
      </c>
      <c r="C67" s="2" t="s">
        <v>265</v>
      </c>
      <c r="D67" s="10">
        <v>46281</v>
      </c>
      <c r="E67" s="2" t="s">
        <v>165</v>
      </c>
      <c r="F67" s="3" t="s">
        <v>138</v>
      </c>
    </row>
    <row r="68" spans="1:6" ht="60" x14ac:dyDescent="0.25">
      <c r="A68">
        <f t="shared" ref="A68:A73" si="1">SUM(A67+1)</f>
        <v>67</v>
      </c>
      <c r="B68" s="2" t="s">
        <v>166</v>
      </c>
      <c r="C68" s="2" t="s">
        <v>166</v>
      </c>
      <c r="D68" s="2" t="s">
        <v>168</v>
      </c>
      <c r="E68" s="2" t="s">
        <v>169</v>
      </c>
      <c r="F68" s="3" t="s">
        <v>167</v>
      </c>
    </row>
    <row r="69" spans="1:6" ht="30" x14ac:dyDescent="0.25">
      <c r="A69">
        <f t="shared" si="1"/>
        <v>68</v>
      </c>
      <c r="B69" s="2" t="s">
        <v>266</v>
      </c>
      <c r="C69" s="2" t="s">
        <v>170</v>
      </c>
      <c r="D69" s="10">
        <v>46234</v>
      </c>
      <c r="E69" s="2" t="s">
        <v>171</v>
      </c>
      <c r="F69" s="3" t="s">
        <v>172</v>
      </c>
    </row>
    <row r="70" spans="1:6" ht="30" x14ac:dyDescent="0.25">
      <c r="A70">
        <f t="shared" si="1"/>
        <v>69</v>
      </c>
      <c r="B70" s="2" t="s">
        <v>267</v>
      </c>
      <c r="C70" s="2" t="s">
        <v>173</v>
      </c>
      <c r="D70" s="10">
        <v>46234</v>
      </c>
      <c r="E70" s="2" t="s">
        <v>174</v>
      </c>
      <c r="F70" s="3" t="s">
        <v>175</v>
      </c>
    </row>
    <row r="71" spans="1:6" ht="30" x14ac:dyDescent="0.25">
      <c r="A71">
        <f t="shared" si="1"/>
        <v>70</v>
      </c>
      <c r="B71" s="2" t="s">
        <v>292</v>
      </c>
      <c r="C71" s="2" t="s">
        <v>176</v>
      </c>
      <c r="D71" s="2" t="s">
        <v>168</v>
      </c>
      <c r="E71" s="2" t="s">
        <v>177</v>
      </c>
      <c r="F71" s="3" t="s">
        <v>178</v>
      </c>
    </row>
    <row r="72" spans="1:6" x14ac:dyDescent="0.25">
      <c r="A72">
        <f t="shared" si="1"/>
        <v>71</v>
      </c>
      <c r="B72" s="12" t="s">
        <v>268</v>
      </c>
      <c r="C72" s="12" t="s">
        <v>179</v>
      </c>
      <c r="D72" s="13">
        <v>46234</v>
      </c>
      <c r="E72" s="12" t="s">
        <v>180</v>
      </c>
      <c r="F72" s="14" t="s">
        <v>181</v>
      </c>
    </row>
    <row r="73" spans="1:6" ht="30" x14ac:dyDescent="0.25">
      <c r="A73">
        <f t="shared" si="1"/>
        <v>72</v>
      </c>
      <c r="B73" s="2" t="s">
        <v>293</v>
      </c>
      <c r="C73" s="2" t="s">
        <v>183</v>
      </c>
      <c r="D73" s="10">
        <v>46253</v>
      </c>
      <c r="E73" s="2" t="s">
        <v>168</v>
      </c>
      <c r="F73" s="3" t="s">
        <v>184</v>
      </c>
    </row>
  </sheetData>
  <hyperlinks>
    <hyperlink ref="F2" r:id="rId1" xr:uid="{8F1E6B7A-E02A-494F-B5F5-FF6FCDB84A6C}"/>
    <hyperlink ref="F3" r:id="rId2" xr:uid="{3BD02EDD-A790-4D26-A577-6ABCCD4DAFD8}"/>
    <hyperlink ref="F4" r:id="rId3" xr:uid="{F1A1B783-970F-4161-B0D3-69309068B482}"/>
    <hyperlink ref="F5" r:id="rId4" xr:uid="{43FE0D0F-14FB-42AA-8BA9-42DD785C36E8}"/>
    <hyperlink ref="F6" r:id="rId5" xr:uid="{A3CA53C5-3B88-4846-8275-521F29EDC383}"/>
    <hyperlink ref="F7" r:id="rId6" xr:uid="{7EBB256F-1F5D-4200-BAA3-0E7CF871A062}"/>
    <hyperlink ref="F8" r:id="rId7" xr:uid="{D824CC4A-210B-4DC9-9502-88CB92E7935D}"/>
    <hyperlink ref="F9" r:id="rId8" xr:uid="{B5DA3002-EED5-4A4D-A767-29BD502943E5}"/>
    <hyperlink ref="F10" r:id="rId9" xr:uid="{7616AD95-C8EC-4AA4-8B05-2B5D2E3DA463}"/>
    <hyperlink ref="F11" r:id="rId10" xr:uid="{6D4B2341-DC6E-4AAB-B0FF-325A9D54D8E7}"/>
    <hyperlink ref="F12" r:id="rId11" xr:uid="{A7AD1D84-8B1C-4633-9110-F133C3596E00}"/>
    <hyperlink ref="F13" r:id="rId12" xr:uid="{5BE155C7-3887-441A-B37B-AA8B0C02A30A}"/>
    <hyperlink ref="F14" r:id="rId13" xr:uid="{9DE85830-D95C-4F8E-AC0C-AB02A51D4579}"/>
    <hyperlink ref="F15" r:id="rId14" xr:uid="{EE24F279-6B1F-4E81-A440-0D17EF14D91F}"/>
    <hyperlink ref="F16" r:id="rId15" xr:uid="{D6564C94-D86C-4F4B-991D-33BB857FE8BB}"/>
    <hyperlink ref="F17" r:id="rId16" xr:uid="{03E82899-541F-4FFC-9519-C805D5C5C9D7}"/>
    <hyperlink ref="F18" r:id="rId17" xr:uid="{B9458B4A-8EB2-4A18-B9FE-91DFEBEFC0A5}"/>
    <hyperlink ref="F19" r:id="rId18" xr:uid="{7AE8F46F-C152-4F01-A838-5D1AED3870AA}"/>
    <hyperlink ref="F20" r:id="rId19" xr:uid="{6241C753-46C3-41E4-85B3-C0A9E350CB8D}"/>
    <hyperlink ref="F21" r:id="rId20" xr:uid="{B6A3FE44-AB7E-409A-8AA2-6BD0D84A4ABA}"/>
    <hyperlink ref="F22" r:id="rId21" xr:uid="{8150F309-F0F6-4628-A282-1DE5F47E0704}"/>
    <hyperlink ref="F23" r:id="rId22" xr:uid="{EB8044E8-D0B3-4E3B-A172-8C00F5EE0EDA}"/>
    <hyperlink ref="F24" r:id="rId23" xr:uid="{E1C17E84-8CB1-4F10-934A-B26BE6358A59}"/>
    <hyperlink ref="F25" r:id="rId24" xr:uid="{0D021E3A-FCA2-489A-ACA9-5F4DD09281B0}"/>
    <hyperlink ref="F26" r:id="rId25" xr:uid="{6300E653-55A4-4583-9118-FDABFD982A9B}"/>
    <hyperlink ref="F27" r:id="rId26" xr:uid="{AB3B8DCC-3121-47EE-B3FB-C7EE2AE870AC}"/>
    <hyperlink ref="F28" r:id="rId27" xr:uid="{B0A16105-9BFF-4444-889F-594DD9832A08}"/>
    <hyperlink ref="F29" r:id="rId28" xr:uid="{A05D9E91-27BB-4A8B-9303-641F6D4E7535}"/>
    <hyperlink ref="F30" r:id="rId29" xr:uid="{3B564563-F64A-4893-B7EB-88E2CD866B59}"/>
    <hyperlink ref="F31" r:id="rId30" location="apply" xr:uid="{1D85EC1E-3DF8-48E4-82B7-D88085D0F748}"/>
    <hyperlink ref="F32" r:id="rId31" xr:uid="{327510D5-BABB-4BE1-8964-3EADECFE3A58}"/>
    <hyperlink ref="F33" r:id="rId32" xr:uid="{E362C71A-0F1A-4406-A0D1-BC11387C035C}"/>
    <hyperlink ref="F34" r:id="rId33" xr:uid="{D4446849-457D-414B-B4B8-B9A3CD453885}"/>
    <hyperlink ref="F35" r:id="rId34" xr:uid="{1C453597-9EAD-44C1-9C43-96BBC81B1EC2}"/>
    <hyperlink ref="F36" r:id="rId35" xr:uid="{8A453460-9F06-4B2C-BB0B-FA2A61C3EA52}"/>
    <hyperlink ref="F37" r:id="rId36" xr:uid="{58F68A9A-FBB1-4E7D-85F2-8DB63EB07187}"/>
    <hyperlink ref="F38" r:id="rId37" xr:uid="{3F3F9063-5019-4F4A-9D3F-182D293EE2AB}"/>
    <hyperlink ref="F39" r:id="rId38" xr:uid="{EF11D5BC-B1C0-457D-82CC-E2053476B1DC}"/>
    <hyperlink ref="F40" r:id="rId39" xr:uid="{19ADE19F-202A-4C06-BD82-B44F76ED9F82}"/>
    <hyperlink ref="F42" r:id="rId40" xr:uid="{BBC55E49-BF79-4D01-B9FF-3235A99357E6}"/>
    <hyperlink ref="F43" r:id="rId41" xr:uid="{5F6B576C-0BD4-4360-BD52-7B7DDFB93861}"/>
    <hyperlink ref="F44" r:id="rId42" xr:uid="{A735FDFA-BF34-49AF-B8DE-CDCDCFC25149}"/>
    <hyperlink ref="F45" r:id="rId43" xr:uid="{EDFA2070-5918-4F36-91A6-19B25DE2B561}"/>
    <hyperlink ref="F46" r:id="rId44" xr:uid="{7B727782-6E0D-4C90-ADCA-132000184D5E}"/>
    <hyperlink ref="F47" r:id="rId45" xr:uid="{8CF3DE8D-A515-46EF-B39C-09E0C76EA2BE}"/>
    <hyperlink ref="F48" r:id="rId46" xr:uid="{59437916-51C1-4ECB-B224-9890214D9694}"/>
    <hyperlink ref="F49" r:id="rId47" xr:uid="{4ABB5205-9453-43E3-B5FA-F0BFE1E54BA2}"/>
    <hyperlink ref="F50" r:id="rId48" xr:uid="{766D6B16-CDC8-426F-AFC4-9F42EAE10FF8}"/>
    <hyperlink ref="F51" r:id="rId49" xr:uid="{8EE9422C-C670-4934-A7B7-1C67435865FF}"/>
    <hyperlink ref="F52" r:id="rId50" xr:uid="{A0CBDA6B-C912-4AE7-98E6-055D2EBFC386}"/>
    <hyperlink ref="F53" r:id="rId51" xr:uid="{FD1B51FC-17C2-4B8D-A636-3B3C1FD8246D}"/>
    <hyperlink ref="F54" r:id="rId52" xr:uid="{893C9F13-C34C-4EB1-A0D2-73E43B4DC089}"/>
    <hyperlink ref="F55" r:id="rId53" xr:uid="{B91C9599-88EC-455C-9681-A842F4984823}"/>
    <hyperlink ref="F57" r:id="rId54" xr:uid="{D35E904B-849B-40E9-A691-632AA5A454F4}"/>
    <hyperlink ref="F58" r:id="rId55" xr:uid="{B24CE29E-9308-45CB-840B-7013F637FDC4}"/>
    <hyperlink ref="F59" r:id="rId56" xr:uid="{9A16938A-208B-4C28-A36B-03C26EF2D2E4}"/>
    <hyperlink ref="F60" r:id="rId57" xr:uid="{C26D4B7C-F95B-49B1-AF88-E0EBA8564585}"/>
    <hyperlink ref="F61" r:id="rId58" xr:uid="{C806F8BF-D05F-493A-8266-91863272C24A}"/>
    <hyperlink ref="F62" r:id="rId59" xr:uid="{6DE4D66D-4C43-47CD-BCCF-202CA367026B}"/>
    <hyperlink ref="F63" r:id="rId60" xr:uid="{B23D105F-6C8F-4BE1-A67F-6B932E236890}"/>
    <hyperlink ref="F64" r:id="rId61" xr:uid="{CC76CDFE-B11C-42A4-8273-3EFBEB9749FF}"/>
    <hyperlink ref="F65" r:id="rId62" xr:uid="{3CA9A6A8-DA4E-451D-8A05-604F25105095}"/>
    <hyperlink ref="F66" r:id="rId63" xr:uid="{0AAAD8C0-92A3-429E-9D36-DF21785587EC}"/>
    <hyperlink ref="F67" r:id="rId64" xr:uid="{865384EE-08FB-45BD-839F-C76E0C51E1A7}"/>
    <hyperlink ref="F68" r:id="rId65" xr:uid="{3A897522-1051-447D-9768-66D5911CDDCC}"/>
    <hyperlink ref="F69" r:id="rId66" xr:uid="{9D2C6AB7-4EA2-48AE-9E22-03BFD6420DC4}"/>
    <hyperlink ref="F70" r:id="rId67" xr:uid="{B58F5A44-7041-4C4B-BA64-F2EB17753901}"/>
    <hyperlink ref="F71" r:id="rId68" xr:uid="{49B8340B-439A-40A8-A629-8BA43F406F38}"/>
    <hyperlink ref="F72" r:id="rId69" xr:uid="{2F685205-3301-476B-A738-EBA1BE90946B}"/>
    <hyperlink ref="F73" r:id="rId70" xr:uid="{41EE0C75-2357-418B-B8EC-8B1967C185EC}"/>
  </hyperlinks>
  <pageMargins left="0.7" right="0.7" top="0.75" bottom="0.75" header="0.3" footer="0.3"/>
  <pageSetup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name-of-organization-issued-by-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ELITE</cp:lastModifiedBy>
  <dcterms:created xsi:type="dcterms:W3CDTF">2026-07-10T16:56:58Z</dcterms:created>
  <dcterms:modified xsi:type="dcterms:W3CDTF">2026-07-27T03:52:06Z</dcterms:modified>
</cp:coreProperties>
</file>